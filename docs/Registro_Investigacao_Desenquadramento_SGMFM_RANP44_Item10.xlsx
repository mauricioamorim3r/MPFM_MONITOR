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fcc720ad6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oes" sheetId="1" r:id="R7882a615ea8c4391"/>
    <x:sheet xmlns:r="http://schemas.openxmlformats.org/officeDocument/2006/relationships" name="01_Identificacao" sheetId="2" r:id="Rce8f011203f948eb"/>
    <x:sheet xmlns:r="http://schemas.openxmlformats.org/officeDocument/2006/relationships" name="02_Diario_Bordo" sheetId="3" r:id="R3e816a6bd52a4317"/>
    <x:sheet xmlns:r="http://schemas.openxmlformats.org/officeDocument/2006/relationships" name="03_Diagnostico" sheetId="4" r:id="R54672c0845ac45ae"/>
    <x:sheet xmlns:r="http://schemas.openxmlformats.org/officeDocument/2006/relationships" name="04_Contingencia_Acoes" sheetId="5" r:id="Rec6e7aa5e63b43cd"/>
    <x:sheet xmlns:r="http://schemas.openxmlformats.org/officeDocument/2006/relationships" name="05_Resumo_ANP" sheetId="6" r:id="R087628b8ea734d59"/>
    <x:sheet xmlns:r="http://schemas.openxmlformats.org/officeDocument/2006/relationships" name="06_Anexos_Evidencias" sheetId="7" r:id="R0e20ffb286ae433c"/>
    <x:sheet xmlns:r="http://schemas.openxmlformats.org/officeDocument/2006/relationships" name="07_Pendencias" sheetId="8" r:id="R7c0ab8e6c17f40ed"/>
    <x:sheet xmlns:r="http://schemas.openxmlformats.org/officeDocument/2006/relationships" name="99_Matriz_RANP44" sheetId="9" r:id="Re8da77d909b248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dd/mm/yyyy hh:mm"/>
    <x:numFmt numFmtId="165" formatCode="dd/mm/yyyy"/>
  </x:numFmts>
  <x:fonts count="11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i/>
      <x:sz val="10"/>
      <x:color rgb="00000000"/>
    </x:font>
    <x:font>
      <x:b/>
    </x:font>
    <x:font>
      <x:sz val="10"/>
      <x:color rgb="00000000"/>
    </x:font>
    <x:font>
      <x:b/>
      <x:sz val="11"/>
      <x:color rgb="00FFFFFF"/>
    </x:font>
    <x:font>
      <x:sz val="10"/>
      <x:color rgb="000000FF"/>
    </x:font>
    <x:font>
      <x:i/>
      <x:sz val="9"/>
    </x:font>
    <x:font>
      <x:b/>
      <x:color rgb="00FFFFFF"/>
    </x:font>
    <x:font/>
    <x:font>
      <x:sz val="10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FFF2CC"/>
      </x:patternFill>
    </x:fill>
    <x:fill>
      <x:patternFill patternType="solid">
        <x:fgColor rgb="002F75B5"/>
      </x:patternFill>
    </x:fill>
    <x:fill>
      <x:patternFill patternType="solid">
        <x:fgColor rgb="00D9E1F2"/>
      </x:patternFill>
    </x:fill>
    <x:fill>
      <x:patternFill patternType="solid">
        <x:fgColor rgb="00F2F2F2"/>
      </x:patternFill>
    </x:fill>
  </x:fills>
  <x:borders count="11">
    <x:border>
      <x:left/>
      <x:right/>
      <x:top/>
      <x:bottom/>
      <x:diagonal/>
    </x:border>
    <x:border>
      <x:left style="thin">
        <x:color rgb="00808080"/>
      </x:left>
      <x:right style="thin">
        <x:color rgb="00808080"/>
      </x:right>
      <x:top style="thin">
        <x:color rgb="00808080"/>
      </x:top>
      <x:bottom style="thin">
        <x:color rgb="00808080"/>
      </x:bottom>
    </x:border>
    <x:border>
      <x:left/>
      <x:right/>
      <x:top style="thin">
        <x:color rgb="00808080"/>
      </x:top>
      <x:bottom/>
      <x:diagonal/>
    </x:border>
    <x:border>
      <x:left style="thin">
        <x:color rgb="00808080"/>
      </x:left>
      <x:right/>
      <x:top/>
      <x:bottom/>
      <x:diagonal/>
    </x:border>
    <x:border>
      <x:left/>
      <x:right style="thin">
        <x:color rgb="00808080"/>
      </x:right>
      <x:top style="thin">
        <x:color rgb="00808080"/>
      </x:top>
      <x:bottom/>
      <x:diagonal/>
    </x:border>
    <x:border>
      <x:left/>
      <x:right style="thin">
        <x:color rgb="00808080"/>
      </x:right>
      <x:top/>
      <x:bottom/>
      <x:diagonal/>
    </x:border>
    <x:border>
      <x:left style="thin">
        <x:color rgb="00808080"/>
      </x:left>
      <x:right/>
      <x:top/>
      <x:bottom style="thin">
        <x:color rgb="00808080"/>
      </x:bottom>
      <x:diagonal/>
    </x:border>
    <x:border>
      <x:left/>
      <x:right/>
      <x:top/>
      <x:bottom style="thin">
        <x:color rgb="00808080"/>
      </x:bottom>
      <x:diagonal/>
    </x:border>
    <x:border>
      <x:left/>
      <x:right style="thin">
        <x:color rgb="00808080"/>
      </x:right>
      <x:top/>
      <x:bottom style="thin">
        <x:color rgb="00808080"/>
      </x:bottom>
      <x:diagonal/>
    </x:border>
    <x:border>
      <x:left/>
      <x:right/>
      <x:top style="thin">
        <x:color rgb="00808080"/>
      </x:top>
      <x:bottom style="thin">
        <x:color rgb="00808080"/>
      </x:bottom>
      <x:diagonal/>
    </x:border>
    <x:border>
      <x:left/>
      <x:right style="thin">
        <x:color rgb="00808080"/>
      </x:right>
      <x:top style="thin">
        <x:color rgb="00808080"/>
      </x:top>
      <x:bottom style="thin">
        <x:color rgb="00808080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3" borderId="0" xfId="0" applyAlignment="1">
      <x:alignment horizontal="center" vertical="center" wrapText="1"/>
    </x:xf>
    <x:xf numFmtId="0" fontId="3" fillId="0" borderId="0" xfId="0"/>
    <x:xf numFmtId="0" fontId="4" fillId="0" borderId="0" xfId="0" applyAlignment="1">
      <x:alignment vertical="top" wrapText="1"/>
    </x:xf>
    <x:xf numFmtId="0" fontId="5" fillId="4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6" fillId="5" borderId="1" xfId="0" applyAlignment="1">
      <x:alignment vertical="top" wrapText="1"/>
    </x:xf>
    <x:xf numFmtId="0" fontId="7" fillId="0" borderId="0" xfId="0" applyAlignment="1">
      <x:alignment horizontal="left" vertical="center" wrapText="1"/>
    </x:xf>
    <x:xf numFmtId="0" fontId="6" fillId="5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164" fontId="6" fillId="5" borderId="1" xfId="0" applyAlignment="1">
      <x:alignment vertical="top" wrapText="1"/>
    </x:xf>
    <x:xf numFmtId="165" fontId="6" fillId="5" borderId="1" xfId="0" applyAlignment="1">
      <x:alignment vertical="top" wrapText="1"/>
    </x:xf>
    <x:xf numFmtId="0" fontId="3" fillId="6" borderId="0" xfId="0" applyAlignment="1">
      <x:alignment horizontal="left" vertical="center" wrapText="1"/>
    </x:xf>
    <x:xf numFmtId="1" fontId="0" fillId="0" borderId="1" xfId="0" applyAlignment="1">
      <x:alignment vertical="top" wrapText="1"/>
    </x:xf>
    <x:xf numFmtId="164" fontId="0" fillId="0" borderId="0" xfId="0"/>
    <x:xf numFmtId="1" fontId="0" fillId="0" borderId="0" xfId="0"/>
    <x:xf numFmtId="1" fontId="0" fillId="0" borderId="1" xfId="0" applyAlignment="1">
      <x:alignment horizontal="center" vertical="center" wrapText="1"/>
    </x:xf>
    <x:xf numFmtId="0" fontId="6" fillId="5" borderId="1" xfId="0" applyAlignment="1">
      <x:alignment horizontal="left" vertical="top" wrapText="1"/>
    </x:xf>
    <x:xf numFmtId="0" fontId="0" fillId="0" borderId="2" xfId="0"/>
    <x:xf numFmtId="0" fontId="0" fillId="0" borderId="4" xfId="0"/>
    <x:xf numFmtId="0" fontId="0" fillId="0" borderId="6" xfId="0"/>
    <x:xf numFmtId="0" fontId="0" fillId="0" borderId="7" xfId="0"/>
    <x:xf numFmtId="0" fontId="0" fillId="0" borderId="8" xfId="0"/>
    <x:xf numFmtId="165" fontId="4" fillId="6" borderId="1" xfId="0" applyAlignment="1">
      <x:alignment vertical="top" wrapText="1"/>
    </x:xf>
    <x:xf numFmtId="165" fontId="4" fillId="6" borderId="1" xfId="0" applyAlignment="1">
      <x:alignment horizontal="center" vertical="center" wrapText="1"/>
    </x:xf>
    <x:xf numFmtId="0" fontId="0" fillId="3" borderId="0" xfId="0" applyAlignment="1">
      <x:alignment vertical="top" wrapText="1"/>
    </x:xf>
    <x:xf numFmtId="0" fontId="8" fillId="4" borderId="0" xfId="0" applyAlignment="1">
      <x:alignment horizontal="center" vertical="center" wrapText="1"/>
    </x:xf>
    <x:xf numFmtId="0" fontId="0" fillId="6" borderId="1" xfId="0" applyAlignment="1">
      <x:alignment vertical="top" wrapText="1"/>
    </x:xf>
    <x:xf numFmtId="0" fontId="3" fillId="5" borderId="1" xfId="0" applyAlignment="1">
      <x:alignment horizontal="left" vertical="center" wrapText="1"/>
    </x:xf>
    <x:xf numFmtId="0" fontId="9" fillId="6" borderId="1" xfId="0" applyAlignment="1">
      <x:alignment horizontal="left" vertical="center" wrapText="1"/>
    </x:xf>
    <x:xf numFmtId="1" fontId="9" fillId="6" borderId="1" xfId="0" applyAlignment="1">
      <x:alignment horizontal="left" vertical="center" wrapText="1"/>
    </x:xf>
    <x:xf numFmtId="165" fontId="0" fillId="6" borderId="1" xfId="0" applyAlignment="1">
      <x:alignment vertical="top" wrapText="1"/>
    </x:xf>
    <x:xf numFmtId="0" fontId="0" fillId="6" borderId="1" xfId="0" applyAlignment="1">
      <x:alignment horizontal="center" vertical="center" wrapText="1"/>
    </x:xf>
    <x:xf numFmtId="0" fontId="0" fillId="0" borderId="3" xfId="0"/>
    <x:xf numFmtId="0" fontId="0" fillId="0" borderId="5" xfId="0"/>
    <x:xf numFmtId="0" fontId="0" fillId="0" borderId="9" xfId="0"/>
    <x:xf numFmtId="0" fontId="0" fillId="0" borderId="10" xfId="0"/>
    <x:xf numFmtId="0" fontId="10" fillId="0" borderId="1" xfId="0" applyAlignment="1">
      <x:alignment vertical="top" wrapText="1"/>
    </x:xf>
  </x:cellXfs>
  <x:cellStyles count="1">
    <x:cellStyle name="Normal" xfId="0"/>
  </x:cellStyles>
  <x:dxfs count="2">
    <x:dxf>
      <x:font>
        <x:b/>
        <x:color rgb="009C0006"/>
      </x:font>
      <x:fill>
        <x:patternFill>
          <x:bgColor rgb="00F8CBAD"/>
        </x:patternFill>
      </x:fill>
    </x:dxf>
    <x:dxf>
      <x:font>
        <x:color rgb="00006100"/>
      </x:font>
      <x:fill>
        <x:patternFill>
          <x:bgColor rgb="00C6EF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68711d89d4707" /><Relationship Type="http://schemas.openxmlformats.org/officeDocument/2006/relationships/theme" Target="/xl/theme/theme1.xml" Id="R9bf972e1d37045ac" /><Relationship Type="http://schemas.openxmlformats.org/officeDocument/2006/relationships/sharedStrings" Target="/xl/sharedStrings.xml" Id="Rd2ad794edf5b4fe1" /><Relationship Type="http://schemas.openxmlformats.org/officeDocument/2006/relationships/worksheet" Target="/xl/worksheets/sheet1.xml" Id="R7882a615ea8c4391" /><Relationship Type="http://schemas.openxmlformats.org/officeDocument/2006/relationships/worksheet" Target="/xl/worksheets/sheet2.xml" Id="Rce8f011203f948eb" /><Relationship Type="http://schemas.openxmlformats.org/officeDocument/2006/relationships/worksheet" Target="/xl/worksheets/sheet3.xml" Id="R3e816a6bd52a4317" /><Relationship Type="http://schemas.openxmlformats.org/officeDocument/2006/relationships/worksheet" Target="/xl/worksheets/sheet4.xml" Id="R54672c0845ac45ae" /><Relationship Type="http://schemas.openxmlformats.org/officeDocument/2006/relationships/worksheet" Target="/xl/worksheets/sheet5.xml" Id="Rec6e7aa5e63b43cd" /><Relationship Type="http://schemas.openxmlformats.org/officeDocument/2006/relationships/worksheet" Target="/xl/worksheets/sheet6.xml" Id="R087628b8ea734d59" /><Relationship Type="http://schemas.openxmlformats.org/officeDocument/2006/relationships/worksheet" Target="/xl/worksheets/sheet7.xml" Id="R0e20ffb286ae433c" /><Relationship Type="http://schemas.openxmlformats.org/officeDocument/2006/relationships/worksheet" Target="/xl/worksheets/sheet8.xml" Id="R7c0ab8e6c17f40ed" /><Relationship Type="http://schemas.openxmlformats.org/officeDocument/2006/relationships/worksheet" Target="/xl/worksheets/sheet9.xml" Id="Re8da77d909b2485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customWidth="1"/>
    <x:col min="2" max="2" width="28" customWidth="1"/>
    <x:col min="3" max="3" width="28" customWidth="1"/>
    <x:col min="4" max="4" width="28" customWidth="1"/>
    <x:col min="5" max="5" width="28" customWidth="1"/>
    <x:col min="6" max="6" width="22" customWidth="1"/>
    <x:col min="7" max="7" width="18" customWidth="1"/>
    <x:col min="8" max="8" width="18" customWidth="1"/>
  </x:cols>
  <x:sheetData>
    <x:row r="1" ht="26" customHeight="1">
      <x:c r="A1" s="1" t="inlineStr">
        <x:is>
          <x:t xml:space="preserve">00 – Instruções (Relatório de Investigação de Falha e Desenquadramento – RANP 44/2015 – Item 10)</x:t>
        </x:is>
      </x:c>
    </x:row>
    <x:row r="2" ht="18" customHeight="1">
      <x:c r="A2" s="2" t="inlineStr">
        <x:is>
          <x:t xml:space="preserve">Use este arquivo como registro oficial do SGM-FM para investigação de desenquadramento. Preencha em ordem: 01 → 02 (diário) → 03 → 04 → 06. A aba 05 consolida e valida se está pronto para envio à ANP.</x:t>
        </x:is>
      </x:c>
    </x:row>
    <x:row r="3" ht="18" customHeight="1"/>
    <x:row r="4">
      <x:c r="A4" s="3" t="inlineStr">
        <x:is>
          <x:t xml:space="preserve">Referência Regulamentar</x:t>
        </x:is>
      </x:c>
      <x:c r="F4" s="3" t="inlineStr">
        <x:is>
          <x:t xml:space="preserve">Como emitir relatórios</x:t>
        </x:is>
      </x:c>
    </x:row>
    <x:row r="5">
      <x:c r="A5" s="4" t="inlineStr">
        <x:is>
          <x:t xml:space="preserve">Resolução ANP nº 44/2015 – Capítulo X (Item 10) – Falhas e Desenquadramentos.</x:t>
        </x:is>
      </x:c>
      <x:c r="F5" s="4" t="inlineStr">
        <x:is>
          <x:t xml:space="preserve">• Relatório Parcial: gerar PDF da Aba 05 (Resumo) + Aba 02/03 conforme necessário, a cada 10 dias enquanto Em Investigação.</x:t>
        </x:is>
      </x:c>
    </x:row>
    <x:row r="6">
      <x:c r="A6" s="4" t="inlineStr">
        <x:is>
          <x:t xml:space="preserve">Este relatório contempla os requisitos mínimos de:</x:t>
        </x:is>
      </x:c>
      <x:c r="F6" s="4" t="inlineStr">
        <x:is>
          <x:t xml:space="preserve">• Relatório Final: emitir em até 30 dias do início do evento (ou 30 dias após recebimento do relatório do fabricante quando aplicável).</x:t>
        </x:is>
      </x:c>
    </x:row>
    <x:row r="7">
      <x:c r="A7" s="4" t="inlineStr">
        <x:is>
          <x:t xml:space="preserve">• Plano de ação (10.1 e 10.2)</x:t>
        </x:is>
      </x:c>
      <x:c r="F7" s="4" t="inlineStr">
        <x:is>
          <x:t xml:space="preserve">• Registrar anexos/evidências na Aba 06 (logs, prints, reports do fabricante, atas, etc.).</x:t>
        </x:is>
      </x:c>
    </x:row>
    <x:row r="8">
      <x:c r="A8" s="4" t="inlineStr">
        <x:is>
          <x:t xml:space="preserve">• Prazos de investigação e emissão (10.3 e 10.4)</x:t>
        </x:is>
      </x:c>
      <x:c r="F8" s="4" t="inlineStr">
        <x:is>
          <x:t xml:space="preserve">• Manter o mesmo ID do Evento em todas as comunicações (rastreabilidade).</x:t>
        </x:is>
      </x:c>
    </x:row>
    <x:row r="9">
      <x:c r="A9" s="4" t="inlineStr">
        <x:is>
          <x:t xml:space="preserve">• Conteúdo mínimo de relatório parcial (10.4.1 a-o)</x:t>
        </x:is>
      </x:c>
    </x:row>
    <x:row r="10">
      <x:c r="A10" s="4" t="inlineStr">
        <x:is>
          <x:t xml:space="preserve">• Conteúdo mínimo de relatório final (10.4.2 a-t)</x:t>
        </x:is>
      </x:c>
    </x:row>
    <x:row r="11">
      <x:c r="A11" s="4" t="inlineStr">
        <x:is>
          <x:t xml:space="preserve">• Contingência (10.5 e 10.6)</x:t>
        </x:is>
      </x:c>
    </x:row>
    <x:row r="12">
      <x:c r="A12" s="4" t="inlineStr">
        <x:is>
          <x:t xml:space="preserve">• Prazos de substituição/reparo (10.7.1 a 10.7.4) e regra de fechamento (10.8)</x:t>
        </x:is>
      </x:c>
    </x:row>
    <x:row r="14">
      <x:c r="A14" s="3" t="inlineStr">
        <x:is>
          <x:t xml:space="preserve">Regras operacionais (preencher conforme Plano de Verificação de Desempenho / SGM-FM)</x:t>
        </x:is>
      </x:c>
    </x:row>
    <x:row r="15">
      <x:c r="A15" s="5" t="inlineStr">
        <x:is>
          <x:t xml:space="preserve">Parâmetro</x:t>
        </x:is>
      </x:c>
      <x:c r="B15" s="5" t="inlineStr">
        <x:is>
          <x:t xml:space="preserve">Valor</x:t>
        </x:is>
      </x:c>
      <x:c r="C15" s="5" t="inlineStr">
        <x:is>
          <x:t xml:space="preserve">Unidade</x:t>
        </x:is>
      </x:c>
      <x:c r="D15" s="5" t="inlineStr">
        <x:is>
          <x:t xml:space="preserve">Referência</x:t>
        </x:is>
      </x:c>
    </x:row>
    <x:row r="16">
      <x:c r="A16" s="6" t="inlineStr">
        <x:is>
          <x:t xml:space="preserve">Gatilho de abertura (desenquadramento persistente)</x:t>
        </x:is>
      </x:c>
      <x:c r="B16" s="7" t="n">
        <x:v>10</x:v>
      </x:c>
      <x:c r="C16" s="6" t="inlineStr">
        <x:is>
          <x:t xml:space="preserve">dias</x:t>
        </x:is>
      </x:c>
      <x:c r="D16" s="6" t="inlineStr">
        <x:is>
          <x:t xml:space="preserve">SGM-FM / Plano de verificação</x:t>
        </x:is>
      </x:c>
    </x:row>
    <x:row r="17">
      <x:c r="A17" s="6" t="inlineStr">
        <x:is>
          <x:t xml:space="preserve">Desvio balanço de massa HC (exemplo)</x:t>
        </x:is>
      </x:c>
      <x:c r="B17" s="7" t="n">
        <x:v>10</x:v>
      </x:c>
      <x:c r="C17" s="6" t="inlineStr">
        <x:is>
          <x:t xml:space="preserve">%</x:t>
        </x:is>
      </x:c>
      <x:c r="D17" s="6" t="inlineStr">
        <x:is>
          <x:t xml:space="preserve">Anexo interno (ajustar)</x:t>
        </x:is>
      </x:c>
    </x:row>
    <x:row r="18">
      <x:c r="A18" s="6" t="inlineStr">
        <x:is>
          <x:t xml:space="preserve">Desvio balanço de massa Total (exemplo)</x:t>
        </x:is>
      </x:c>
      <x:c r="B18" s="7" t="n">
        <x:v>7</x:v>
      </x:c>
      <x:c r="C18" s="6" t="inlineStr">
        <x:is>
          <x:t xml:space="preserve">%</x:t>
        </x:is>
      </x:c>
      <x:c r="D18" s="6" t="inlineStr">
        <x:is>
          <x:t xml:space="preserve">Anexo interno (ajustar)</x:t>
        </x:is>
      </x:c>
    </x:row>
    <x:row r="20">
      <x:c r="A20" s="8" t="inlineStr">
        <x:is>
          <x:t xml:space="preserve">Fonte (texto): https://www.in.gov.br e/ou portal ANP – Resolução ANP nº 44/2015.</x:t>
        </x:is>
      </x:c>
    </x:row>
  </x:sheetData>
  <x:mergeCells>
    <x:mergeCell ref="A20:H20"/>
    <x:mergeCell ref="A2:H2"/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customWidth="1"/>
    <x:col min="2" max="2" width="14" customWidth="1"/>
    <x:col min="3" max="3" width="14" customWidth="1"/>
    <x:col min="4" max="4" width="10" customWidth="1"/>
    <x:col min="5" max="5" width="10" customWidth="1"/>
    <x:col min="6" max="6" width="18" customWidth="1"/>
    <x:col min="7" max="7" width="18" customWidth="1"/>
    <x:col min="8" max="8" width="14" customWidth="1"/>
    <x:col min="9" max="9" width="20" customWidth="1"/>
    <x:col min="10" max="10" width="24" customWidth="1"/>
  </x:cols>
  <x:sheetData>
    <x:row r="1" ht="26" customHeight="1">
      <x:c r="A1" s="1" t="inlineStr">
        <x:is>
          <x:t xml:space="preserve">01 – Identificação do Evento e Condições Operacionais (RANP 44/2015 – 10.4.1 a-i, o)</x:t>
        </x:is>
      </x:c>
    </x:row>
    <x:row r="2" ht="18" customHeight="1">
      <x:c r="A2" s="2" t="inlineStr">
        <x:is>
          <x:t xml:space="preserve">Preencha os campos obrigatórios. Estes dados alimentam os relatórios Parcial (10 dias) e Final (30 dias).</x:t>
        </x:is>
      </x:c>
    </x:row>
    <x:row r="3">
      <x:c r="A3" s="3" t="inlineStr">
        <x:is>
          <x:t xml:space="preserve">Status do Evento</x:t>
        </x:is>
      </x:c>
      <x:c r="B3" s="9" t="inlineStr">
        <x:is>
          <x:t xml:space="preserve"/>
        </x:is>
      </x:c>
      <x:c r="D3" s="3" t="inlineStr">
        <x:is>
          <x:t xml:space="preserve">Tipo de Relatório</x:t>
        </x:is>
      </x:c>
      <x:c r="E3" s="9" t="inlineStr">
        <x:is>
          <x:t xml:space="preserve"/>
        </x:is>
      </x:c>
      <x:c r="G3" s="3" t="inlineStr">
        <x:is>
          <x:t xml:space="preserve">Ambiente</x:t>
        </x:is>
      </x:c>
      <x:c r="H3" s="9" t="inlineStr">
        <x:is>
          <x:t xml:space="preserve"/>
        </x:is>
      </x:c>
    </x:row>
    <x:row r="5">
      <x:c r="A5" s="5" t="inlineStr">
        <x:is>
          <x:t xml:space="preserve">Campo</x:t>
        </x:is>
      </x:c>
      <x:c r="B5" s="5" t="inlineStr">
        <x:is>
          <x:t xml:space="preserve">Valor (preencher)</x:t>
        </x:is>
      </x:c>
      <x:c r="C5" s="5" t="inlineStr">
        <x:is>
          <x:t xml:space="preserve">Obrigatório?</x:t>
        </x:is>
      </x:c>
      <x:c r="D5" s="5" t="inlineStr">
        <x:is>
          <x:t xml:space="preserve">Referência RANP</x:t>
        </x:is>
      </x:c>
    </x:row>
    <x:row r="6">
      <x:c r="A6" s="6" t="inlineStr">
        <x:is>
          <x:t xml:space="preserve">ID do Evento (código único)</x:t>
        </x:is>
      </x:c>
      <x:c r="B6" s="7" t="inlineStr">
        <x:is>
          <x:t xml:space="preserve"/>
        </x:is>
      </x:c>
      <x:c r="C6" s="10" t="inlineStr">
        <x:is>
          <x:t xml:space="preserve">SIM</x:t>
        </x:is>
      </x:c>
      <x:c r="D6" s="10" t="inlineStr">
        <x:is>
          <x:t xml:space="preserve">10.4.1 / 10.4.2</x:t>
        </x:is>
      </x:c>
    </x:row>
    <x:row r="7">
      <x:c r="A7" s="6" t="inlineStr">
        <x:is>
          <x:t xml:space="preserve">a) Agente regulado</x:t>
        </x:is>
      </x:c>
      <x:c r="B7" s="7" t="inlineStr">
        <x:is>
          <x:t xml:space="preserve">Equinor Brasil Energia Ltda</x:t>
        </x:is>
      </x:c>
      <x:c r="C7" s="10" t="inlineStr">
        <x:is>
          <x:t xml:space="preserve">SIM</x:t>
        </x:is>
      </x:c>
      <x:c r="D7" s="10" t="inlineStr">
        <x:is>
          <x:t xml:space="preserve">10.4.1(a)</x:t>
        </x:is>
      </x:c>
    </x:row>
    <x:row r="8">
      <x:c r="A8" s="6" t="inlineStr">
        <x:is>
          <x:t xml:space="preserve">b) Bacia</x:t>
        </x:is>
      </x:c>
      <x:c r="B8" s="7" t="inlineStr">
        <x:is>
          <x:t xml:space="preserve">Santos</x:t>
        </x:is>
      </x:c>
      <x:c r="C8" s="10" t="inlineStr">
        <x:is>
          <x:t xml:space="preserve">SIM</x:t>
        </x:is>
      </x:c>
      <x:c r="D8" s="10" t="inlineStr">
        <x:is>
          <x:t xml:space="preserve">10.4.1(b)</x:t>
        </x:is>
      </x:c>
    </x:row>
    <x:row r="9">
      <x:c r="A9" s="6" t="inlineStr">
        <x:is>
          <x:t xml:space="preserve">c) Campo</x:t>
        </x:is>
      </x:c>
      <x:c r="B9" s="7" t="inlineStr">
        <x:is>
          <x:t xml:space="preserve">Bacalhau</x:t>
        </x:is>
      </x:c>
      <x:c r="C9" s="10" t="inlineStr">
        <x:is>
          <x:t xml:space="preserve">SIM</x:t>
        </x:is>
      </x:c>
      <x:c r="D9" s="10" t="inlineStr">
        <x:is>
          <x:t xml:space="preserve">10.4.1(c)</x:t>
        </x:is>
      </x:c>
    </x:row>
    <x:row r="10">
      <x:c r="A10" s="6" t="inlineStr">
        <x:is>
          <x:t xml:space="preserve">d) Instalação</x:t>
        </x:is>
      </x:c>
      <x:c r="B10" s="7" t="inlineStr">
        <x:is>
          <x:t xml:space="preserve">FPSO Bacalhau</x:t>
        </x:is>
      </x:c>
      <x:c r="C10" s="10" t="inlineStr">
        <x:is>
          <x:t xml:space="preserve">SIM</x:t>
        </x:is>
      </x:c>
      <x:c r="D10" s="10" t="inlineStr">
        <x:is>
          <x:t xml:space="preserve">10.4.1(d)</x:t>
        </x:is>
      </x:c>
    </x:row>
    <x:row r="11">
      <x:c r="A11" s="6" t="inlineStr">
        <x:is>
          <x:t xml:space="preserve">e) Equipamento em falha (TAG)</x:t>
        </x:is>
      </x:c>
      <x:c r="B11" s="7" t="inlineStr">
        <x:is>
          <x:t xml:space="preserve"/>
        </x:is>
      </x:c>
      <x:c r="C11" s="10" t="inlineStr">
        <x:is>
          <x:t xml:space="preserve">SIM</x:t>
        </x:is>
      </x:c>
      <x:c r="D11" s="10" t="inlineStr">
        <x:is>
          <x:t xml:space="preserve">10.4.1(e)</x:t>
        </x:is>
      </x:c>
    </x:row>
    <x:row r="12">
      <x:c r="A12" s="6" t="inlineStr">
        <x:is>
          <x:t xml:space="preserve">Sistema associado (ex.: Riser / FCS320)</x:t>
        </x:is>
      </x:c>
      <x:c r="B12" s="7" t="inlineStr">
        <x:is>
          <x:t xml:space="preserve"/>
        </x:is>
      </x:c>
      <x:c r="C12" s="10" t="inlineStr">
        <x:is>
          <x:t xml:space="preserve">SIM</x:t>
        </x:is>
      </x:c>
      <x:c r="D12" s="10" t="inlineStr">
        <x:is>
          <x:t xml:space="preserve">10.4.1(e)</x:t>
        </x:is>
      </x:c>
    </x:row>
    <x:row r="13">
      <x:c r="A13" s="6" t="inlineStr">
        <x:is>
          <x:t xml:space="preserve">g) Data da ocorrência (início do evento)</x:t>
        </x:is>
      </x:c>
      <x:c r="B13" s="11" t="inlineStr">
        <x:is>
          <x:t xml:space="preserve"/>
        </x:is>
      </x:c>
      <x:c r="C13" s="10" t="inlineStr">
        <x:is>
          <x:t xml:space="preserve">SIM</x:t>
        </x:is>
      </x:c>
      <x:c r="D13" s="10" t="inlineStr">
        <x:is>
          <x:t xml:space="preserve">10.4.1(g)</x:t>
        </x:is>
      </x:c>
    </x:row>
    <x:row r="14">
      <x:c r="A14" s="6" t="inlineStr">
        <x:is>
          <x:t xml:space="preserve">h) Data da detecção</x:t>
        </x:is>
      </x:c>
      <x:c r="B14" s="11" t="inlineStr">
        <x:is>
          <x:t xml:space="preserve"/>
        </x:is>
      </x:c>
      <x:c r="C14" s="10" t="inlineStr">
        <x:is>
          <x:t xml:space="preserve">SIM</x:t>
        </x:is>
      </x:c>
      <x:c r="D14" s="10" t="inlineStr">
        <x:is>
          <x:t xml:space="preserve">10.4.1(h)</x:t>
        </x:is>
      </x:c>
    </x:row>
    <x:row r="15">
      <x:c r="A15" s="6" t="inlineStr">
        <x:is>
          <x:t xml:space="preserve">i) Data deste relatório</x:t>
        </x:is>
      </x:c>
      <x:c r="B15" s="12" t="inlineStr">
        <x:is>
          <x:t xml:space="preserve"/>
        </x:is>
      </x:c>
      <x:c r="C15" s="10" t="inlineStr">
        <x:is>
          <x:t xml:space="preserve">SIM</x:t>
        </x:is>
      </x:c>
      <x:c r="D15" s="10" t="inlineStr">
        <x:is>
          <x:t xml:space="preserve">10.4.1(i)</x:t>
        </x:is>
      </x:c>
    </x:row>
    <x:row r="16">
      <x:c r="A16" s="6" t="inlineStr">
        <x:is>
          <x:t xml:space="preserve">o) Responsável técnico (nome/cargo/CREA)</x:t>
        </x:is>
      </x:c>
      <x:c r="B16" s="7" t="inlineStr">
        <x:is>
          <x:t xml:space="preserve"/>
        </x:is>
      </x:c>
      <x:c r="C16" s="10" t="inlineStr">
        <x:is>
          <x:t xml:space="preserve">SIM</x:t>
        </x:is>
      </x:c>
      <x:c r="D16" s="10" t="inlineStr">
        <x:is>
          <x:t xml:space="preserve">10.4.1(o)</x:t>
        </x:is>
      </x:c>
    </x:row>
    <x:row r="17">
      <x:c r="A17" s="6" t="inlineStr">
        <x:is>
          <x:t xml:space="preserve">Contato / e-mail para comunicações (opcional)</x:t>
        </x:is>
      </x:c>
      <x:c r="B17" s="7" t="inlineStr">
        <x:is>
          <x:t xml:space="preserve"/>
        </x:is>
      </x:c>
      <x:c r="C17" s="10" t="inlineStr">
        <x:is>
          <x:t xml:space="preserve">NÃO</x:t>
        </x:is>
      </x:c>
      <x:c r="D17" s="10" t="inlineStr">
        <x:is>
          <x:t xml:space="preserve">SGM-FM</x:t>
        </x:is>
      </x:c>
    </x:row>
    <x:row r="18">
      <x:c r="A18" s="6" t="inlineStr">
        <x:is>
          <x:t xml:space="preserve">Notificação ANP (se aplicável) – protocolo/SEI</x:t>
        </x:is>
      </x:c>
      <x:c r="B18" s="7" t="inlineStr">
        <x:is>
          <x:t xml:space="preserve"/>
        </x:is>
      </x:c>
      <x:c r="C18" s="10" t="inlineStr">
        <x:is>
          <x:t xml:space="preserve">NÃO</x:t>
        </x:is>
      </x:c>
      <x:c r="D18" s="10" t="inlineStr">
        <x:is>
          <x:t xml:space="preserve">10.1.1</x:t>
        </x:is>
      </x:c>
    </x:row>
    <x:row r="21" ht="18" customHeight="1">
      <x:c r="A21" s="13" t="inlineStr">
        <x:is>
          <x:t xml:space="preserve">Condições Operacionais ANTES do Evento (RANP 44 – 10.4.1(f))</x:t>
        </x:is>
      </x:c>
    </x:row>
    <x:row r="22">
      <x:c r="A22" s="5" t="inlineStr">
        <x:is>
          <x:t xml:space="preserve">Variável</x:t>
        </x:is>
      </x:c>
      <x:c r="B22" s="5" t="inlineStr">
        <x:is>
          <x:t xml:space="preserve">Valor</x:t>
        </x:is>
      </x:c>
      <x:c r="C22" s="5" t="inlineStr">
        <x:is>
          <x:t xml:space="preserve">Unidade</x:t>
        </x:is>
      </x:c>
      <x:c r="D22" s="5" t="inlineStr">
        <x:is>
          <x:t xml:space="preserve">Fonte/Ref.</x:t>
        </x:is>
      </x:c>
    </x:row>
    <x:row r="23">
      <x:c r="A23" s="6" t="inlineStr">
        <x:is>
          <x:t xml:space="preserve">GVF</x:t>
        </x:is>
      </x:c>
      <x:c r="B23" s="7" t="inlineStr">
        <x:is>
          <x:t xml:space="preserve"/>
        </x:is>
      </x:c>
      <x:c r="C23" s="10" t="inlineStr">
        <x:is>
          <x:t xml:space="preserve">%</x:t>
        </x:is>
      </x:c>
      <x:c r="D23" s="6" t="inlineStr">
        <x:is>
          <x:t xml:space="preserve">Historiador/PI</x:t>
        </x:is>
      </x:c>
    </x:row>
    <x:row r="24">
      <x:c r="A24" s="6" t="inlineStr">
        <x:is>
          <x:t xml:space="preserve">Salinidade</x:t>
        </x:is>
      </x:c>
      <x:c r="B24" s="7" t="inlineStr">
        <x:is>
          <x:t xml:space="preserve"/>
        </x:is>
      </x:c>
      <x:c r="C24" s="10" t="inlineStr">
        <x:is>
          <x:t xml:space="preserve">ppm ou mS/cm</x:t>
        </x:is>
      </x:c>
      <x:c r="D24" s="6" t="inlineStr">
        <x:is>
          <x:t xml:space="preserve">Lab/Operação</x:t>
        </x:is>
      </x:c>
    </x:row>
    <x:row r="25">
      <x:c r="A25" s="6" t="inlineStr">
        <x:is>
          <x:t xml:space="preserve">BSW</x:t>
        </x:is>
      </x:c>
      <x:c r="B25" s="7" t="inlineStr">
        <x:is>
          <x:t xml:space="preserve"/>
        </x:is>
      </x:c>
      <x:c r="C25" s="10" t="inlineStr">
        <x:is>
          <x:t xml:space="preserve">%</x:t>
        </x:is>
      </x:c>
      <x:c r="D25" s="6" t="inlineStr">
        <x:is>
          <x:t xml:space="preserve">Operação/Lab</x:t>
        </x:is>
      </x:c>
    </x:row>
    <x:row r="26">
      <x:c r="A26" s="6" t="inlineStr">
        <x:is>
          <x:t xml:space="preserve">Vazão mássica total</x:t>
        </x:is>
      </x:c>
      <x:c r="B26" s="7" t="inlineStr">
        <x:is>
          <x:t xml:space="preserve"/>
        </x:is>
      </x:c>
      <x:c r="C26" s="10" t="inlineStr">
        <x:is>
          <x:t xml:space="preserve">kg/h</x:t>
        </x:is>
      </x:c>
      <x:c r="D26" s="6" t="inlineStr">
        <x:is>
          <x:t xml:space="preserve">FCS/PI</x:t>
        </x:is>
      </x:c>
    </x:row>
    <x:row r="27">
      <x:c r="A27" s="6" t="inlineStr">
        <x:is>
          <x:t xml:space="preserve">Vazão volumétrica óleo</x:t>
        </x:is>
      </x:c>
      <x:c r="B27" s="7" t="inlineStr">
        <x:is>
          <x:t xml:space="preserve"/>
        </x:is>
      </x:c>
      <x:c r="C27" s="10" t="inlineStr">
        <x:is>
          <x:t xml:space="preserve">m³/h</x:t>
        </x:is>
      </x:c>
      <x:c r="D27" s="6" t="inlineStr">
        <x:is>
          <x:t xml:space="preserve">FCS/PI</x:t>
        </x:is>
      </x:c>
    </x:row>
    <x:row r="28">
      <x:c r="A28" s="6" t="inlineStr">
        <x:is>
          <x:t xml:space="preserve">Vazão volumétrica gás</x:t>
        </x:is>
      </x:c>
      <x:c r="B28" s="7" t="inlineStr">
        <x:is>
          <x:t xml:space="preserve"/>
        </x:is>
      </x:c>
      <x:c r="C28" s="10" t="inlineStr">
        <x:is>
          <x:t xml:space="preserve">Sm³/h</x:t>
        </x:is>
      </x:c>
      <x:c r="D28" s="6" t="inlineStr">
        <x:is>
          <x:t xml:space="preserve">FCS/PI</x:t>
        </x:is>
      </x:c>
    </x:row>
    <x:row r="29">
      <x:c r="A29" s="6" t="inlineStr">
        <x:is>
          <x:t xml:space="preserve">Pressão</x:t>
        </x:is>
      </x:c>
      <x:c r="B29" s="7" t="inlineStr">
        <x:is>
          <x:t xml:space="preserve"/>
        </x:is>
      </x:c>
      <x:c r="C29" s="10" t="inlineStr">
        <x:is>
          <x:t xml:space="preserve">bar</x:t>
        </x:is>
      </x:c>
      <x:c r="D29" s="6" t="inlineStr">
        <x:is>
          <x:t xml:space="preserve">Transmissor/PI</x:t>
        </x:is>
      </x:c>
    </x:row>
    <x:row r="30">
      <x:c r="A30" s="6" t="inlineStr">
        <x:is>
          <x:t xml:space="preserve">Temperatura</x:t>
        </x:is>
      </x:c>
      <x:c r="B30" s="7" t="inlineStr">
        <x:is>
          <x:t xml:space="preserve"/>
        </x:is>
      </x:c>
      <x:c r="C30" s="10" t="inlineStr">
        <x:is>
          <x:t xml:space="preserve">°C</x:t>
        </x:is>
      </x:c>
      <x:c r="D30" s="6" t="inlineStr">
        <x:is>
          <x:t xml:space="preserve">Transmissor/PI</x:t>
        </x:is>
      </x:c>
    </x:row>
    <x:row r="33" ht="18" customHeight="1">
      <x:c r="A33" s="13" t="inlineStr">
        <x:is>
          <x:t xml:space="preserve">Variáveis em Desenquadramento (RANP 44 – 10.2 / Plano de Verificação de Desempenho)</x:t>
        </x:is>
      </x:c>
    </x:row>
    <x:row r="34">
      <x:c r="A34" s="5" t="inlineStr">
        <x:is>
          <x:t xml:space="preserve">Variável monitorada</x:t>
        </x:is>
      </x:c>
      <x:c r="B34" s="5" t="inlineStr">
        <x:is>
          <x:t xml:space="preserve">Limite do plano</x:t>
        </x:is>
      </x:c>
      <x:c r="C34" s="5" t="inlineStr">
        <x:is>
          <x:t xml:space="preserve">Valor observado</x:t>
        </x:is>
      </x:c>
      <x:c r="D34" s="5" t="inlineStr">
        <x:is>
          <x:t xml:space="preserve">Desvio</x:t>
        </x:is>
      </x:c>
      <x:c r="E34" s="5" t="inlineStr">
        <x:is>
          <x:t xml:space="preserve">Unidade</x:t>
        </x:is>
      </x:c>
      <x:c r="F34" s="5" t="inlineStr">
        <x:is>
          <x:t xml:space="preserve">Período (início)</x:t>
        </x:is>
      </x:c>
      <x:c r="G34" s="5" t="inlineStr">
        <x:is>
          <x:t xml:space="preserve">Período (fim)</x:t>
        </x:is>
      </x:c>
      <x:c r="H34" s="5" t="inlineStr">
        <x:is>
          <x:t xml:space="preserve">Duração (dias)</x:t>
        </x:is>
      </x:c>
      <x:c r="I34" s="5" t="inlineStr">
        <x:is>
          <x:t xml:space="preserve">Evidência/Tag PI</x:t>
        </x:is>
      </x:c>
      <x:c r="J34" s="5" t="inlineStr">
        <x:is>
          <x:t xml:space="preserve">Observação</x:t>
        </x:is>
      </x:c>
    </x:row>
    <x:row r="35">
      <x:c r="A35" s="7" t="n"/>
      <x:c r="B35" s="7" t="n"/>
      <x:c r="C35" s="7" t="n"/>
      <x:c r="D35" s="6">
        <x:f>IF(OR(C35="",B35=""),"",C35-B35)</x:f>
      </x:c>
      <x:c r="E35" s="7" t="n"/>
      <x:c r="F35" s="11" t="n"/>
      <x:c r="G35" s="11" t="n"/>
      <x:c r="H35" s="14">
        <x:f>IF(OR(F35="",G35=""),"",G35-F35)</x:f>
      </x:c>
      <x:c r="I35" s="7" t="n"/>
      <x:c r="J35" s="7" t="n"/>
    </x:row>
    <x:row r="36">
      <x:c r="D36">
        <x:f>IF(OR(C36="",B36=""),"",C36-B36)</x:f>
      </x:c>
      <x:c r="F36" s="15" t="n"/>
      <x:c r="G36" s="15" t="n"/>
      <x:c r="H36" s="16">
        <x:f>IF(OR(F36="",G36=""),"",G36-F36)</x:f>
      </x:c>
    </x:row>
    <x:row r="37">
      <x:c r="D37">
        <x:f>IF(OR(C37="",B37=""),"",C37-B37)</x:f>
      </x:c>
      <x:c r="F37" s="15" t="n"/>
      <x:c r="G37" s="15" t="n"/>
      <x:c r="H37" s="16">
        <x:f>IF(OR(F37="",G37=""),"",G37-F37)</x:f>
      </x:c>
    </x:row>
    <x:row r="38">
      <x:c r="D38">
        <x:f>IF(OR(C38="",B38=""),"",C38-B38)</x:f>
      </x:c>
      <x:c r="F38" s="15" t="n"/>
      <x:c r="G38" s="15" t="n"/>
      <x:c r="H38" s="16">
        <x:f>IF(OR(F38="",G38=""),"",G38-F38)</x:f>
      </x:c>
    </x:row>
    <x:row r="39">
      <x:c r="D39">
        <x:f>IF(OR(C39="",B39=""),"",C39-B39)</x:f>
      </x:c>
      <x:c r="F39" s="15" t="n"/>
      <x:c r="G39" s="15" t="n"/>
      <x:c r="H39" s="16">
        <x:f>IF(OR(F39="",G39=""),"",G39-F39)</x:f>
      </x:c>
    </x:row>
    <x:row r="40">
      <x:c r="D40">
        <x:f>IF(OR(C40="",B40=""),"",C40-B40)</x:f>
      </x:c>
      <x:c r="F40" s="15" t="n"/>
      <x:c r="G40" s="15" t="n"/>
      <x:c r="H40" s="16">
        <x:f>IF(OR(F40="",G40=""),"",G40-F40)</x:f>
      </x:c>
    </x:row>
    <x:row r="41">
      <x:c r="D41">
        <x:f>IF(OR(C41="",B41=""),"",C41-B41)</x:f>
      </x:c>
      <x:c r="F41" s="15" t="n"/>
      <x:c r="G41" s="15" t="n"/>
      <x:c r="H41" s="16">
        <x:f>IF(OR(F41="",G41=""),"",G41-F41)</x:f>
      </x:c>
    </x:row>
    <x:row r="42">
      <x:c r="D42">
        <x:f>IF(OR(C42="",B42=""),"",C42-B42)</x:f>
      </x:c>
      <x:c r="F42" s="15" t="n"/>
      <x:c r="G42" s="15" t="n"/>
      <x:c r="H42" s="16">
        <x:f>IF(OR(F42="",G42=""),"",G42-F42)</x:f>
      </x:c>
    </x:row>
    <x:row r="43">
      <x:c r="D43">
        <x:f>IF(OR(C43="",B43=""),"",C43-B43)</x:f>
      </x:c>
      <x:c r="F43" s="15" t="n"/>
      <x:c r="G43" s="15" t="n"/>
      <x:c r="H43" s="16">
        <x:f>IF(OR(F43="",G43=""),"",G43-F43)</x:f>
      </x:c>
    </x:row>
    <x:row r="44">
      <x:c r="D44">
        <x:f>IF(OR(C44="",B44=""),"",C44-B44)</x:f>
      </x:c>
      <x:c r="F44" s="15" t="n"/>
      <x:c r="G44" s="15" t="n"/>
      <x:c r="H44" s="16">
        <x:f>IF(OR(F44="",G44=""),"",G44-F44)</x:f>
      </x:c>
    </x:row>
    <x:row r="45">
      <x:c r="D45">
        <x:f>IF(OR(C45="",B45=""),"",C45-B45)</x:f>
      </x:c>
      <x:c r="F45" s="15" t="n"/>
      <x:c r="G45" s="15" t="n"/>
      <x:c r="H45" s="16">
        <x:f>IF(OR(F45="",G45=""),"",G45-F45)</x:f>
      </x:c>
    </x:row>
    <x:row r="46">
      <x:c r="D46">
        <x:f>IF(OR(C46="",B46=""),"",C46-B46)</x:f>
      </x:c>
      <x:c r="F46" s="15" t="n"/>
      <x:c r="G46" s="15" t="n"/>
      <x:c r="H46" s="16">
        <x:f>IF(OR(F46="",G46=""),"",G46-F46)</x:f>
      </x:c>
    </x:row>
  </x:sheetData>
  <x:mergeCells>
    <x:mergeCell ref="A1:J1"/>
    <x:mergeCell ref="A21:J21"/>
    <x:mergeCell ref="A33:J33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10" customWidth="1"/>
    <x:col min="3" max="3" width="18" customWidth="1"/>
    <x:col min="4" max="4" width="38" customWidth="1"/>
    <x:col min="5" max="5" width="38" customWidth="1"/>
    <x:col min="6" max="6" width="18" customWidth="1"/>
    <x:col min="7" max="7" width="18" customWidth="1"/>
    <x:col min="8" max="8" width="14" customWidth="1"/>
    <x:col min="9" max="9" width="14" customWidth="1"/>
    <x:col min="10" max="10" width="18" customWidth="1"/>
    <x:col min="11" max="11" width="18" customWidth="1"/>
  </x:cols>
  <x:sheetData>
    <x:row r="1" ht="26" customHeight="1">
      <x:c r="A1" s="1" t="inlineStr">
        <x:is>
          <x:t xml:space="preserve">02 – Registro de Investigação e Cronologia (Diário de Bordo) – RANP 44 (10.4.1 m / 10.4.2 j,k)</x:t>
        </x:is>
      </x:c>
    </x:row>
    <x:row r="2" ht="18" customHeight="1">
      <x:c r="A2" s="2" t="inlineStr">
        <x:is>
          <x:t xml:space="preserve">Atualize em tempo real. Registre cada evidência na Aba 06 e referencie o ID do anexo aqui.</x:t>
        </x:is>
      </x:c>
    </x:row>
    <x:row r="3">
      <x:c r="A3" s="13" t="inlineStr">
        <x:is>
          <x:t xml:space="preserve">Metodologia de Investigação (marque com SIM/NÃO)</x:t>
        </x:is>
      </x:c>
    </x:row>
    <x:row r="4">
      <x:c r="A4" s="5" t="inlineStr">
        <x:is>
          <x:t xml:space="preserve">Metodologia</x:t>
        </x:is>
      </x:c>
      <x:c r="B4" s="5" t="inlineStr">
        <x:is>
          <x:t xml:space="preserve">Seleção</x:t>
        </x:is>
      </x:c>
      <x:c r="C4" s="5" t="inlineStr">
        <x:is>
          <x:t xml:space="preserve">Ref.</x:t>
        </x:is>
      </x:c>
    </x:row>
    <x:row r="5">
      <x:c r="A5" s="6" t="inlineStr">
        <x:is>
          <x:t xml:space="preserve">Comparação com Separador</x:t>
        </x:is>
      </x:c>
      <x:c r="B5" s="9" t="inlineStr">
        <x:is>
          <x:t xml:space="preserve"/>
        </x:is>
      </x:c>
      <x:c r="C5" s="7" t="inlineStr">
        <x:is>
          <x:t xml:space="preserve"/>
        </x:is>
      </x:c>
    </x:row>
    <x:row r="6">
      <x:c r="A6" s="6" t="inlineStr">
        <x:is>
          <x:t xml:space="preserve">Diagnóstico remoto (fabricante)</x:t>
        </x:is>
      </x:c>
      <x:c r="B6" s="9" t="inlineStr">
        <x:is>
          <x:t xml:space="preserve"/>
        </x:is>
      </x:c>
      <x:c r="C6" s="7" t="inlineStr">
        <x:is>
          <x:t xml:space="preserve"/>
        </x:is>
      </x:c>
    </x:row>
    <x:row r="7">
      <x:c r="A7" s="6" t="inlineStr">
        <x:is>
          <x:t xml:space="preserve">Análise de PVT / Regressão EOS</x:t>
        </x:is>
      </x:c>
      <x:c r="B7" s="9" t="inlineStr">
        <x:is>
          <x:t xml:space="preserve"/>
        </x:is>
      </x:c>
      <x:c r="C7" s="7" t="inlineStr">
        <x:is>
          <x:t xml:space="preserve"/>
        </x:is>
      </x:c>
    </x:row>
    <x:row r="8">
      <x:c r="A8" s="6" t="inlineStr">
        <x:is>
          <x:t xml:space="preserve">Verificação de sensores redundantes / PI</x:t>
        </x:is>
      </x:c>
      <x:c r="B8" s="9" t="inlineStr">
        <x:is>
          <x:t xml:space="preserve"/>
        </x:is>
      </x:c>
      <x:c r="C8" s="7" t="inlineStr">
        <x:is>
          <x:t xml:space="preserve"/>
        </x:is>
      </x:c>
    </x:row>
    <x:row r="9">
      <x:c r="A9" s="6" t="inlineStr">
        <x:is>
          <x:t xml:space="preserve">Inspeção física / manutenção</x:t>
        </x:is>
      </x:c>
      <x:c r="B9" s="9" t="inlineStr">
        <x:is>
          <x:t xml:space="preserve"/>
        </x:is>
      </x:c>
      <x:c r="C9" s="7" t="inlineStr">
        <x:is>
          <x:t xml:space="preserve"/>
        </x:is>
      </x:c>
    </x:row>
    <x:row r="12">
      <x:c r="A12" s="13" t="inlineStr">
        <x:is>
          <x:t xml:space="preserve">Diário de Bordo – Ações e Resultados (use D+ como referência de prazo de 10 dias)</x:t>
        </x:is>
      </x:c>
    </x:row>
    <x:row r="13">
      <x:c r="A13" s="5" t="inlineStr">
        <x:is>
          <x:t xml:space="preserve">Data/Hora</x:t>
        </x:is>
      </x:c>
      <x:c r="B13" s="5" t="inlineStr">
        <x:is>
          <x:t xml:space="preserve">D+</x:t>
        </x:is>
      </x:c>
      <x:c r="C13" s="5" t="inlineStr">
        <x:is>
          <x:t xml:space="preserve">Etapa/Ação</x:t>
        </x:is>
      </x:c>
      <x:c r="D13" s="5" t="inlineStr">
        <x:is>
          <x:t xml:space="preserve">Detalhe (atividade + resultados)</x:t>
        </x:is>
      </x:c>
      <x:c r="E13" s="5" t="inlineStr">
        <x:is>
          <x:t xml:space="preserve">Próximo passo</x:t>
        </x:is>
      </x:c>
      <x:c r="F13" s="5" t="inlineStr">
        <x:is>
          <x:t xml:space="preserve">Responsável</x:t>
        </x:is>
      </x:c>
      <x:c r="G13" s="5" t="inlineStr">
        <x:is>
          <x:t xml:space="preserve">Área</x:t>
        </x:is>
      </x:c>
      <x:c r="H13" s="5" t="inlineStr">
        <x:is>
          <x:t xml:space="preserve">Evidência (ID anexo)</x:t>
        </x:is>
      </x:c>
      <x:c r="I13" s="5" t="inlineStr">
        <x:is>
          <x:t xml:space="preserve">Status</x:t>
        </x:is>
      </x:c>
      <x:c r="J13" s="5" t="inlineStr">
        <x:is>
          <x:t xml:space="preserve">Item RANP (opcional)</x:t>
        </x:is>
      </x:c>
      <x:c r="K13" s="5" t="inlineStr">
        <x:is>
          <x:t xml:space="preserve">Observações</x:t>
        </x:is>
      </x:c>
    </x:row>
    <x:row r="14">
      <x:c r="A14" s="11" t="n"/>
      <x:c r="B14" s="17">
        <x:f>IF(OR(A14="",'01_Identificacao'!B13=""),"",INT(A14-'01_Identificacao'!B13))</x:f>
      </x:c>
      <x:c r="C14" s="7" t="n"/>
      <x:c r="D14" s="7" t="n"/>
      <x:c r="E14" s="7" t="n"/>
      <x:c r="F14" s="7" t="n"/>
      <x:c r="G14" s="7" t="n"/>
      <x:c r="H14" s="7" t="n"/>
      <x:c r="I14" s="9" t="n"/>
      <x:c r="J14" s="7" t="n"/>
      <x:c r="K14" s="7" t="n"/>
    </x:row>
    <x:row r="15">
      <x:c r="A15" s="11" t="n"/>
      <x:c r="B15" s="17">
        <x:f>IF(OR(A15="",'01_Identificacao'!B13=""),"",INT(A15-'01_Identificacao'!B13))</x:f>
      </x:c>
      <x:c r="C15" s="7" t="n"/>
      <x:c r="D15" s="7" t="n"/>
      <x:c r="E15" s="7" t="n"/>
      <x:c r="F15" s="7" t="n"/>
      <x:c r="G15" s="7" t="n"/>
      <x:c r="H15" s="7" t="n"/>
      <x:c r="I15" s="9" t="n"/>
      <x:c r="J15" s="7" t="n"/>
      <x:c r="K15" s="7" t="n"/>
    </x:row>
    <x:row r="16">
      <x:c r="A16" s="11" t="n"/>
      <x:c r="B16" s="17">
        <x:f>IF(OR(A16="",'01_Identificacao'!B13=""),"",INT(A16-'01_Identificacao'!B13))</x:f>
      </x:c>
      <x:c r="C16" s="7" t="n"/>
      <x:c r="D16" s="7" t="n"/>
      <x:c r="E16" s="7" t="n"/>
      <x:c r="F16" s="7" t="n"/>
      <x:c r="G16" s="7" t="n"/>
      <x:c r="H16" s="7" t="n"/>
      <x:c r="I16" s="9" t="n"/>
      <x:c r="J16" s="7" t="n"/>
      <x:c r="K16" s="7" t="n"/>
    </x:row>
    <x:row r="17">
      <x:c r="A17" s="11" t="n"/>
      <x:c r="B17" s="17">
        <x:f>IF(OR(A17="",'01_Identificacao'!B13=""),"",INT(A17-'01_Identificacao'!B13))</x:f>
      </x:c>
      <x:c r="C17" s="7" t="n"/>
      <x:c r="D17" s="7" t="n"/>
      <x:c r="E17" s="7" t="n"/>
      <x:c r="F17" s="7" t="n"/>
      <x:c r="G17" s="7" t="n"/>
      <x:c r="H17" s="7" t="n"/>
      <x:c r="I17" s="9" t="n"/>
      <x:c r="J17" s="7" t="n"/>
      <x:c r="K17" s="7" t="n"/>
    </x:row>
    <x:row r="18">
      <x:c r="A18" s="11" t="n"/>
      <x:c r="B18" s="17">
        <x:f>IF(OR(A18="",'01_Identificacao'!B13=""),"",INT(A18-'01_Identificacao'!B13))</x:f>
      </x:c>
      <x:c r="C18" s="7" t="n"/>
      <x:c r="D18" s="7" t="n"/>
      <x:c r="E18" s="7" t="n"/>
      <x:c r="F18" s="7" t="n"/>
      <x:c r="G18" s="7" t="n"/>
      <x:c r="H18" s="7" t="n"/>
      <x:c r="I18" s="9" t="n"/>
      <x:c r="J18" s="7" t="n"/>
      <x:c r="K18" s="7" t="n"/>
    </x:row>
    <x:row r="19">
      <x:c r="A19" s="11" t="n"/>
      <x:c r="B19" s="17">
        <x:f>IF(OR(A19="",'01_Identificacao'!B13=""),"",INT(A19-'01_Identificacao'!B13))</x:f>
      </x:c>
      <x:c r="C19" s="7" t="n"/>
      <x:c r="D19" s="7" t="n"/>
      <x:c r="E19" s="7" t="n"/>
      <x:c r="F19" s="7" t="n"/>
      <x:c r="G19" s="7" t="n"/>
      <x:c r="H19" s="7" t="n"/>
      <x:c r="I19" s="9" t="n"/>
      <x:c r="J19" s="7" t="n"/>
      <x:c r="K19" s="7" t="n"/>
    </x:row>
    <x:row r="20">
      <x:c r="A20" s="11" t="n"/>
      <x:c r="B20" s="17">
        <x:f>IF(OR(A20="",'01_Identificacao'!B13=""),"",INT(A20-'01_Identificacao'!B13))</x:f>
      </x:c>
      <x:c r="C20" s="7" t="n"/>
      <x:c r="D20" s="7" t="n"/>
      <x:c r="E20" s="7" t="n"/>
      <x:c r="F20" s="7" t="n"/>
      <x:c r="G20" s="7" t="n"/>
      <x:c r="H20" s="7" t="n"/>
      <x:c r="I20" s="9" t="n"/>
      <x:c r="J20" s="7" t="n"/>
      <x:c r="K20" s="7" t="n"/>
    </x:row>
    <x:row r="21">
      <x:c r="A21" s="11" t="n"/>
      <x:c r="B21" s="17">
        <x:f>IF(OR(A21="",'01_Identificacao'!B13=""),"",INT(A21-'01_Identificacao'!B13))</x:f>
      </x:c>
      <x:c r="C21" s="7" t="n"/>
      <x:c r="D21" s="7" t="n"/>
      <x:c r="E21" s="7" t="n"/>
      <x:c r="F21" s="7" t="n"/>
      <x:c r="G21" s="7" t="n"/>
      <x:c r="H21" s="7" t="n"/>
      <x:c r="I21" s="9" t="n"/>
      <x:c r="J21" s="7" t="n"/>
      <x:c r="K21" s="7" t="n"/>
    </x:row>
    <x:row r="22">
      <x:c r="A22" s="11" t="n"/>
      <x:c r="B22" s="17">
        <x:f>IF(OR(A22="",'01_Identificacao'!B13=""),"",INT(A22-'01_Identificacao'!B13))</x:f>
      </x:c>
      <x:c r="C22" s="7" t="n"/>
      <x:c r="D22" s="7" t="n"/>
      <x:c r="E22" s="7" t="n"/>
      <x:c r="F22" s="7" t="n"/>
      <x:c r="G22" s="7" t="n"/>
      <x:c r="H22" s="7" t="n"/>
      <x:c r="I22" s="9" t="n"/>
      <x:c r="J22" s="7" t="n"/>
      <x:c r="K22" s="7" t="n"/>
    </x:row>
    <x:row r="23">
      <x:c r="A23" s="11" t="n"/>
      <x:c r="B23" s="17">
        <x:f>IF(OR(A23="",'01_Identificacao'!B13=""),"",INT(A23-'01_Identificacao'!B13))</x:f>
      </x:c>
      <x:c r="C23" s="7" t="n"/>
      <x:c r="D23" s="7" t="n"/>
      <x:c r="E23" s="7" t="n"/>
      <x:c r="F23" s="7" t="n"/>
      <x:c r="G23" s="7" t="n"/>
      <x:c r="H23" s="7" t="n"/>
      <x:c r="I23" s="9" t="n"/>
      <x:c r="J23" s="7" t="n"/>
      <x:c r="K23" s="7" t="n"/>
    </x:row>
    <x:row r="24">
      <x:c r="A24" s="11" t="n"/>
      <x:c r="B24" s="17">
        <x:f>IF(OR(A24="",'01_Identificacao'!B13=""),"",INT(A24-'01_Identificacao'!B13))</x:f>
      </x:c>
      <x:c r="C24" s="7" t="n"/>
      <x:c r="D24" s="7" t="n"/>
      <x:c r="E24" s="7" t="n"/>
      <x:c r="F24" s="7" t="n"/>
      <x:c r="G24" s="7" t="n"/>
      <x:c r="H24" s="7" t="n"/>
      <x:c r="I24" s="9" t="n"/>
      <x:c r="J24" s="7" t="n"/>
      <x:c r="K24" s="7" t="n"/>
    </x:row>
    <x:row r="25">
      <x:c r="A25" s="11" t="n"/>
      <x:c r="B25" s="17">
        <x:f>IF(OR(A25="",'01_Identificacao'!B13=""),"",INT(A25-'01_Identificacao'!B13))</x:f>
      </x:c>
      <x:c r="C25" s="7" t="n"/>
      <x:c r="D25" s="7" t="n"/>
      <x:c r="E25" s="7" t="n"/>
      <x:c r="F25" s="7" t="n"/>
      <x:c r="G25" s="7" t="n"/>
      <x:c r="H25" s="7" t="n"/>
      <x:c r="I25" s="9" t="n"/>
      <x:c r="J25" s="7" t="n"/>
      <x:c r="K25" s="7" t="n"/>
    </x:row>
    <x:row r="26">
      <x:c r="A26" s="11" t="n"/>
      <x:c r="B26" s="17">
        <x:f>IF(OR(A26="",'01_Identificacao'!B13=""),"",INT(A26-'01_Identificacao'!B13))</x:f>
      </x:c>
      <x:c r="C26" s="7" t="n"/>
      <x:c r="D26" s="7" t="n"/>
      <x:c r="E26" s="7" t="n"/>
      <x:c r="F26" s="7" t="n"/>
      <x:c r="G26" s="7" t="n"/>
      <x:c r="H26" s="7" t="n"/>
      <x:c r="I26" s="9" t="n"/>
      <x:c r="J26" s="7" t="n"/>
      <x:c r="K26" s="7" t="n"/>
    </x:row>
    <x:row r="27">
      <x:c r="A27" s="11" t="n"/>
      <x:c r="B27" s="17">
        <x:f>IF(OR(A27="",'01_Identificacao'!B13=""),"",INT(A27-'01_Identificacao'!B13))</x:f>
      </x:c>
      <x:c r="C27" s="7" t="n"/>
      <x:c r="D27" s="7" t="n"/>
      <x:c r="E27" s="7" t="n"/>
      <x:c r="F27" s="7" t="n"/>
      <x:c r="G27" s="7" t="n"/>
      <x:c r="H27" s="7" t="n"/>
      <x:c r="I27" s="9" t="n"/>
      <x:c r="J27" s="7" t="n"/>
      <x:c r="K27" s="7" t="n"/>
    </x:row>
    <x:row r="28">
      <x:c r="A28" s="11" t="n"/>
      <x:c r="B28" s="17">
        <x:f>IF(OR(A28="",'01_Identificacao'!B13=""),"",INT(A28-'01_Identificacao'!B13))</x:f>
      </x:c>
      <x:c r="C28" s="7" t="n"/>
      <x:c r="D28" s="7" t="n"/>
      <x:c r="E28" s="7" t="n"/>
      <x:c r="F28" s="7" t="n"/>
      <x:c r="G28" s="7" t="n"/>
      <x:c r="H28" s="7" t="n"/>
      <x:c r="I28" s="9" t="n"/>
      <x:c r="J28" s="7" t="n"/>
      <x:c r="K28" s="7" t="n"/>
    </x:row>
    <x:row r="29">
      <x:c r="A29" s="11" t="n"/>
      <x:c r="B29" s="17">
        <x:f>IF(OR(A29="",'01_Identificacao'!B13=""),"",INT(A29-'01_Identificacao'!B13))</x:f>
      </x:c>
      <x:c r="C29" s="7" t="n"/>
      <x:c r="D29" s="7" t="n"/>
      <x:c r="E29" s="7" t="n"/>
      <x:c r="F29" s="7" t="n"/>
      <x:c r="G29" s="7" t="n"/>
      <x:c r="H29" s="7" t="n"/>
      <x:c r="I29" s="9" t="n"/>
      <x:c r="J29" s="7" t="n"/>
      <x:c r="K29" s="7" t="n"/>
    </x:row>
    <x:row r="30">
      <x:c r="A30" s="11" t="n"/>
      <x:c r="B30" s="17">
        <x:f>IF(OR(A30="",'01_Identificacao'!B13=""),"",INT(A30-'01_Identificacao'!B13))</x:f>
      </x:c>
      <x:c r="C30" s="7" t="n"/>
      <x:c r="D30" s="7" t="n"/>
      <x:c r="E30" s="7" t="n"/>
      <x:c r="F30" s="7" t="n"/>
      <x:c r="G30" s="7" t="n"/>
      <x:c r="H30" s="7" t="n"/>
      <x:c r="I30" s="9" t="n"/>
      <x:c r="J30" s="7" t="n"/>
      <x:c r="K30" s="7" t="n"/>
    </x:row>
    <x:row r="31">
      <x:c r="A31" s="11" t="n"/>
      <x:c r="B31" s="17">
        <x:f>IF(OR(A31="",'01_Identificacao'!B13=""),"",INT(A31-'01_Identificacao'!B13))</x:f>
      </x:c>
      <x:c r="C31" s="7" t="n"/>
      <x:c r="D31" s="7" t="n"/>
      <x:c r="E31" s="7" t="n"/>
      <x:c r="F31" s="7" t="n"/>
      <x:c r="G31" s="7" t="n"/>
      <x:c r="H31" s="7" t="n"/>
      <x:c r="I31" s="9" t="n"/>
      <x:c r="J31" s="7" t="n"/>
      <x:c r="K31" s="7" t="n"/>
    </x:row>
    <x:row r="32">
      <x:c r="A32" s="11" t="n"/>
      <x:c r="B32" s="17">
        <x:f>IF(OR(A32="",'01_Identificacao'!B13=""),"",INT(A32-'01_Identificacao'!B13))</x:f>
      </x:c>
      <x:c r="C32" s="7" t="n"/>
      <x:c r="D32" s="7" t="n"/>
      <x:c r="E32" s="7" t="n"/>
      <x:c r="F32" s="7" t="n"/>
      <x:c r="G32" s="7" t="n"/>
      <x:c r="H32" s="7" t="n"/>
      <x:c r="I32" s="9" t="n"/>
      <x:c r="J32" s="7" t="n"/>
      <x:c r="K32" s="7" t="n"/>
    </x:row>
    <x:row r="33">
      <x:c r="A33" s="11" t="n"/>
      <x:c r="B33" s="17">
        <x:f>IF(OR(A33="",'01_Identificacao'!B13=""),"",INT(A33-'01_Identificacao'!B13))</x:f>
      </x:c>
      <x:c r="C33" s="7" t="n"/>
      <x:c r="D33" s="7" t="n"/>
      <x:c r="E33" s="7" t="n"/>
      <x:c r="F33" s="7" t="n"/>
      <x:c r="G33" s="7" t="n"/>
      <x:c r="H33" s="7" t="n"/>
      <x:c r="I33" s="9" t="n"/>
      <x:c r="J33" s="7" t="n"/>
      <x:c r="K33" s="7" t="n"/>
    </x:row>
    <x:row r="34">
      <x:c r="A34" s="11" t="n"/>
      <x:c r="B34" s="17">
        <x:f>IF(OR(A34="",'01_Identificacao'!B13=""),"",INT(A34-'01_Identificacao'!B13))</x:f>
      </x:c>
      <x:c r="C34" s="7" t="n"/>
      <x:c r="D34" s="7" t="n"/>
      <x:c r="E34" s="7" t="n"/>
      <x:c r="F34" s="7" t="n"/>
      <x:c r="G34" s="7" t="n"/>
      <x:c r="H34" s="7" t="n"/>
      <x:c r="I34" s="9" t="n"/>
      <x:c r="J34" s="7" t="n"/>
      <x:c r="K34" s="7" t="n"/>
    </x:row>
    <x:row r="35">
      <x:c r="A35" s="11" t="n"/>
      <x:c r="B35" s="17">
        <x:f>IF(OR(A35="",'01_Identificacao'!B13=""),"",INT(A35-'01_Identificacao'!B13))</x:f>
      </x:c>
      <x:c r="C35" s="7" t="n"/>
      <x:c r="D35" s="7" t="n"/>
      <x:c r="E35" s="7" t="n"/>
      <x:c r="F35" s="7" t="n"/>
      <x:c r="G35" s="7" t="n"/>
      <x:c r="H35" s="7" t="n"/>
      <x:c r="I35" s="9" t="n"/>
      <x:c r="J35" s="7" t="n"/>
      <x:c r="K35" s="7" t="n"/>
    </x:row>
    <x:row r="36">
      <x:c r="A36" s="11" t="n"/>
      <x:c r="B36" s="17">
        <x:f>IF(OR(A36="",'01_Identificacao'!B13=""),"",INT(A36-'01_Identificacao'!B13))</x:f>
      </x:c>
      <x:c r="C36" s="7" t="n"/>
      <x:c r="D36" s="7" t="n"/>
      <x:c r="E36" s="7" t="n"/>
      <x:c r="F36" s="7" t="n"/>
      <x:c r="G36" s="7" t="n"/>
      <x:c r="H36" s="7" t="n"/>
      <x:c r="I36" s="9" t="n"/>
      <x:c r="J36" s="7" t="n"/>
      <x:c r="K36" s="7" t="n"/>
    </x:row>
    <x:row r="37">
      <x:c r="A37" s="11" t="n"/>
      <x:c r="B37" s="17">
        <x:f>IF(OR(A37="",'01_Identificacao'!B13=""),"",INT(A37-'01_Identificacao'!B13))</x:f>
      </x:c>
      <x:c r="C37" s="7" t="n"/>
      <x:c r="D37" s="7" t="n"/>
      <x:c r="E37" s="7" t="n"/>
      <x:c r="F37" s="7" t="n"/>
      <x:c r="G37" s="7" t="n"/>
      <x:c r="H37" s="7" t="n"/>
      <x:c r="I37" s="9" t="n"/>
      <x:c r="J37" s="7" t="n"/>
      <x:c r="K37" s="7" t="n"/>
    </x:row>
    <x:row r="38">
      <x:c r="A38" s="11" t="n"/>
      <x:c r="B38" s="17">
        <x:f>IF(OR(A38="",'01_Identificacao'!B13=""),"",INT(A38-'01_Identificacao'!B13))</x:f>
      </x:c>
      <x:c r="C38" s="7" t="n"/>
      <x:c r="D38" s="7" t="n"/>
      <x:c r="E38" s="7" t="n"/>
      <x:c r="F38" s="7" t="n"/>
      <x:c r="G38" s="7" t="n"/>
      <x:c r="H38" s="7" t="n"/>
      <x:c r="I38" s="9" t="n"/>
      <x:c r="J38" s="7" t="n"/>
      <x:c r="K38" s="7" t="n"/>
    </x:row>
    <x:row r="39">
      <x:c r="A39" s="11" t="n"/>
      <x:c r="B39" s="17">
        <x:f>IF(OR(A39="",'01_Identificacao'!B13=""),"",INT(A39-'01_Identificacao'!B13))</x:f>
      </x:c>
      <x:c r="C39" s="7" t="n"/>
      <x:c r="D39" s="7" t="n"/>
      <x:c r="E39" s="7" t="n"/>
      <x:c r="F39" s="7" t="n"/>
      <x:c r="G39" s="7" t="n"/>
      <x:c r="H39" s="7" t="n"/>
      <x:c r="I39" s="9" t="n"/>
      <x:c r="J39" s="7" t="n"/>
      <x:c r="K39" s="7" t="n"/>
    </x:row>
    <x:row r="40">
      <x:c r="A40" s="11" t="n"/>
      <x:c r="B40" s="17">
        <x:f>IF(OR(A40="",'01_Identificacao'!B13=""),"",INT(A40-'01_Identificacao'!B13))</x:f>
      </x:c>
      <x:c r="C40" s="7" t="n"/>
      <x:c r="D40" s="7" t="n"/>
      <x:c r="E40" s="7" t="n"/>
      <x:c r="F40" s="7" t="n"/>
      <x:c r="G40" s="7" t="n"/>
      <x:c r="H40" s="7" t="n"/>
      <x:c r="I40" s="9" t="n"/>
      <x:c r="J40" s="7" t="n"/>
      <x:c r="K40" s="7" t="n"/>
    </x:row>
    <x:row r="41">
      <x:c r="A41" s="11" t="n"/>
      <x:c r="B41" s="17">
        <x:f>IF(OR(A41="",'01_Identificacao'!B13=""),"",INT(A41-'01_Identificacao'!B13))</x:f>
      </x:c>
      <x:c r="C41" s="7" t="n"/>
      <x:c r="D41" s="7" t="n"/>
      <x:c r="E41" s="7" t="n"/>
      <x:c r="F41" s="7" t="n"/>
      <x:c r="G41" s="7" t="n"/>
      <x:c r="H41" s="7" t="n"/>
      <x:c r="I41" s="9" t="n"/>
      <x:c r="J41" s="7" t="n"/>
      <x:c r="K41" s="7" t="n"/>
    </x:row>
    <x:row r="42">
      <x:c r="A42" s="11" t="n"/>
      <x:c r="B42" s="17">
        <x:f>IF(OR(A42="",'01_Identificacao'!B13=""),"",INT(A42-'01_Identificacao'!B13))</x:f>
      </x:c>
      <x:c r="C42" s="7" t="n"/>
      <x:c r="D42" s="7" t="n"/>
      <x:c r="E42" s="7" t="n"/>
      <x:c r="F42" s="7" t="n"/>
      <x:c r="G42" s="7" t="n"/>
      <x:c r="H42" s="7" t="n"/>
      <x:c r="I42" s="9" t="n"/>
      <x:c r="J42" s="7" t="n"/>
      <x:c r="K42" s="7" t="n"/>
    </x:row>
    <x:row r="43">
      <x:c r="A43" s="11" t="n"/>
      <x:c r="B43" s="17">
        <x:f>IF(OR(A43="",'01_Identificacao'!B13=""),"",INT(A43-'01_Identificacao'!B13))</x:f>
      </x:c>
      <x:c r="C43" s="7" t="n"/>
      <x:c r="D43" s="7" t="n"/>
      <x:c r="E43" s="7" t="n"/>
      <x:c r="F43" s="7" t="n"/>
      <x:c r="G43" s="7" t="n"/>
      <x:c r="H43" s="7" t="n"/>
      <x:c r="I43" s="9" t="n"/>
      <x:c r="J43" s="7" t="n"/>
      <x:c r="K43" s="7" t="n"/>
    </x:row>
    <x:row r="44">
      <x:c r="A44" s="11" t="n"/>
      <x:c r="B44" s="17">
        <x:f>IF(OR(A44="",'01_Identificacao'!B13=""),"",INT(A44-'01_Identificacao'!B13))</x:f>
      </x:c>
      <x:c r="C44" s="7" t="n"/>
      <x:c r="D44" s="7" t="n"/>
      <x:c r="E44" s="7" t="n"/>
      <x:c r="F44" s="7" t="n"/>
      <x:c r="G44" s="7" t="n"/>
      <x:c r="H44" s="7" t="n"/>
      <x:c r="I44" s="9" t="n"/>
      <x:c r="J44" s="7" t="n"/>
      <x:c r="K44" s="7" t="n"/>
    </x:row>
    <x:row r="45">
      <x:c r="A45" s="11" t="n"/>
      <x:c r="B45" s="17">
        <x:f>IF(OR(A45="",'01_Identificacao'!B13=""),"",INT(A45-'01_Identificacao'!B13))</x:f>
      </x:c>
      <x:c r="C45" s="7" t="n"/>
      <x:c r="D45" s="7" t="n"/>
      <x:c r="E45" s="7" t="n"/>
      <x:c r="F45" s="7" t="n"/>
      <x:c r="G45" s="7" t="n"/>
      <x:c r="H45" s="7" t="n"/>
      <x:c r="I45" s="9" t="n"/>
      <x:c r="J45" s="7" t="n"/>
      <x:c r="K45" s="7" t="n"/>
    </x:row>
    <x:row r="46">
      <x:c r="A46" s="11" t="n"/>
      <x:c r="B46" s="17">
        <x:f>IF(OR(A46="",'01_Identificacao'!B13=""),"",INT(A46-'01_Identificacao'!B13))</x:f>
      </x:c>
      <x:c r="C46" s="7" t="n"/>
      <x:c r="D46" s="7" t="n"/>
      <x:c r="E46" s="7" t="n"/>
      <x:c r="F46" s="7" t="n"/>
      <x:c r="G46" s="7" t="n"/>
      <x:c r="H46" s="7" t="n"/>
      <x:c r="I46" s="9" t="n"/>
      <x:c r="J46" s="7" t="n"/>
      <x:c r="K46" s="7" t="n"/>
    </x:row>
    <x:row r="47">
      <x:c r="A47" s="11" t="n"/>
      <x:c r="B47" s="17">
        <x:f>IF(OR(A47="",'01_Identificacao'!B13=""),"",INT(A47-'01_Identificacao'!B13))</x:f>
      </x:c>
      <x:c r="C47" s="7" t="n"/>
      <x:c r="D47" s="7" t="n"/>
      <x:c r="E47" s="7" t="n"/>
      <x:c r="F47" s="7" t="n"/>
      <x:c r="G47" s="7" t="n"/>
      <x:c r="H47" s="7" t="n"/>
      <x:c r="I47" s="9" t="n"/>
      <x:c r="J47" s="7" t="n"/>
      <x:c r="K47" s="7" t="n"/>
    </x:row>
    <x:row r="48">
      <x:c r="A48" s="11" t="n"/>
      <x:c r="B48" s="17">
        <x:f>IF(OR(A48="",'01_Identificacao'!B13=""),"",INT(A48-'01_Identificacao'!B13))</x:f>
      </x:c>
      <x:c r="C48" s="7" t="n"/>
      <x:c r="D48" s="7" t="n"/>
      <x:c r="E48" s="7" t="n"/>
      <x:c r="F48" s="7" t="n"/>
      <x:c r="G48" s="7" t="n"/>
      <x:c r="H48" s="7" t="n"/>
      <x:c r="I48" s="9" t="n"/>
      <x:c r="J48" s="7" t="n"/>
      <x:c r="K48" s="7" t="n"/>
    </x:row>
    <x:row r="49">
      <x:c r="A49" s="11" t="n"/>
      <x:c r="B49" s="17">
        <x:f>IF(OR(A49="",'01_Identificacao'!B13=""),"",INT(A49-'01_Identificacao'!B13))</x:f>
      </x:c>
      <x:c r="C49" s="7" t="n"/>
      <x:c r="D49" s="7" t="n"/>
      <x:c r="E49" s="7" t="n"/>
      <x:c r="F49" s="7" t="n"/>
      <x:c r="G49" s="7" t="n"/>
      <x:c r="H49" s="7" t="n"/>
      <x:c r="I49" s="9" t="n"/>
      <x:c r="J49" s="7" t="n"/>
      <x:c r="K49" s="7" t="n"/>
    </x:row>
    <x:row r="50">
      <x:c r="A50" s="11" t="n"/>
      <x:c r="B50" s="17">
        <x:f>IF(OR(A50="",'01_Identificacao'!B13=""),"",INT(A50-'01_Identificacao'!B13))</x:f>
      </x:c>
      <x:c r="C50" s="7" t="n"/>
      <x:c r="D50" s="7" t="n"/>
      <x:c r="E50" s="7" t="n"/>
      <x:c r="F50" s="7" t="n"/>
      <x:c r="G50" s="7" t="n"/>
      <x:c r="H50" s="7" t="n"/>
      <x:c r="I50" s="9" t="n"/>
      <x:c r="J50" s="7" t="n"/>
      <x:c r="K50" s="7" t="n"/>
    </x:row>
    <x:row r="51">
      <x:c r="A51" s="11" t="n"/>
      <x:c r="B51" s="17">
        <x:f>IF(OR(A51="",'01_Identificacao'!B13=""),"",INT(A51-'01_Identificacao'!B13))</x:f>
      </x:c>
      <x:c r="C51" s="7" t="n"/>
      <x:c r="D51" s="7" t="n"/>
      <x:c r="E51" s="7" t="n"/>
      <x:c r="F51" s="7" t="n"/>
      <x:c r="G51" s="7" t="n"/>
      <x:c r="H51" s="7" t="n"/>
      <x:c r="I51" s="9" t="n"/>
      <x:c r="J51" s="7" t="n"/>
      <x:c r="K51" s="7" t="n"/>
    </x:row>
    <x:row r="52">
      <x:c r="A52" s="11" t="n"/>
      <x:c r="B52" s="17">
        <x:f>IF(OR(A52="",'01_Identificacao'!B13=""),"",INT(A52-'01_Identificacao'!B13))</x:f>
      </x:c>
      <x:c r="C52" s="7" t="n"/>
      <x:c r="D52" s="7" t="n"/>
      <x:c r="E52" s="7" t="n"/>
      <x:c r="F52" s="7" t="n"/>
      <x:c r="G52" s="7" t="n"/>
      <x:c r="H52" s="7" t="n"/>
      <x:c r="I52" s="9" t="n"/>
      <x:c r="J52" s="7" t="n"/>
      <x:c r="K52" s="7" t="n"/>
    </x:row>
    <x:row r="53">
      <x:c r="A53" s="11" t="n"/>
      <x:c r="B53" s="17">
        <x:f>IF(OR(A53="",'01_Identificacao'!B13=""),"",INT(A53-'01_Identificacao'!B13))</x:f>
      </x:c>
      <x:c r="C53" s="7" t="n"/>
      <x:c r="D53" s="7" t="n"/>
      <x:c r="E53" s="7" t="n"/>
      <x:c r="F53" s="7" t="n"/>
      <x:c r="G53" s="7" t="n"/>
      <x:c r="H53" s="7" t="n"/>
      <x:c r="I53" s="9" t="n"/>
      <x:c r="J53" s="7" t="n"/>
      <x:c r="K53" s="7" t="n"/>
    </x:row>
    <x:row r="54">
      <x:c r="A54" s="11" t="n"/>
      <x:c r="B54" s="17">
        <x:f>IF(OR(A54="",'01_Identificacao'!B13=""),"",INT(A54-'01_Identificacao'!B13))</x:f>
      </x:c>
      <x:c r="C54" s="7" t="n"/>
      <x:c r="D54" s="7" t="n"/>
      <x:c r="E54" s="7" t="n"/>
      <x:c r="F54" s="7" t="n"/>
      <x:c r="G54" s="7" t="n"/>
      <x:c r="H54" s="7" t="n"/>
      <x:c r="I54" s="9" t="n"/>
      <x:c r="J54" s="7" t="n"/>
      <x:c r="K54" s="7" t="n"/>
    </x:row>
    <x:row r="55">
      <x:c r="A55" s="11" t="n"/>
      <x:c r="B55" s="17">
        <x:f>IF(OR(A55="",'01_Identificacao'!B13=""),"",INT(A55-'01_Identificacao'!B13))</x:f>
      </x:c>
      <x:c r="C55" s="7" t="n"/>
      <x:c r="D55" s="7" t="n"/>
      <x:c r="E55" s="7" t="n"/>
      <x:c r="F55" s="7" t="n"/>
      <x:c r="G55" s="7" t="n"/>
      <x:c r="H55" s="7" t="n"/>
      <x:c r="I55" s="9" t="n"/>
      <x:c r="J55" s="7" t="n"/>
      <x:c r="K55" s="7" t="n"/>
    </x:row>
    <x:row r="56">
      <x:c r="A56" s="11" t="n"/>
      <x:c r="B56" s="17">
        <x:f>IF(OR(A56="",'01_Identificacao'!B13=""),"",INT(A56-'01_Identificacao'!B13))</x:f>
      </x:c>
      <x:c r="C56" s="7" t="n"/>
      <x:c r="D56" s="7" t="n"/>
      <x:c r="E56" s="7" t="n"/>
      <x:c r="F56" s="7" t="n"/>
      <x:c r="G56" s="7" t="n"/>
      <x:c r="H56" s="7" t="n"/>
      <x:c r="I56" s="9" t="n"/>
      <x:c r="J56" s="7" t="n"/>
      <x:c r="K56" s="7" t="n"/>
    </x:row>
    <x:row r="57">
      <x:c r="A57" s="11" t="n"/>
      <x:c r="B57" s="17">
        <x:f>IF(OR(A57="",'01_Identificacao'!B13=""),"",INT(A57-'01_Identificacao'!B13))</x:f>
      </x:c>
      <x:c r="C57" s="7" t="n"/>
      <x:c r="D57" s="7" t="n"/>
      <x:c r="E57" s="7" t="n"/>
      <x:c r="F57" s="7" t="n"/>
      <x:c r="G57" s="7" t="n"/>
      <x:c r="H57" s="7" t="n"/>
      <x:c r="I57" s="9" t="n"/>
      <x:c r="J57" s="7" t="n"/>
      <x:c r="K57" s="7" t="n"/>
    </x:row>
    <x:row r="58">
      <x:c r="A58" s="11" t="n"/>
      <x:c r="B58" s="17">
        <x:f>IF(OR(A58="",'01_Identificacao'!B13=""),"",INT(A58-'01_Identificacao'!B13))</x:f>
      </x:c>
      <x:c r="C58" s="7" t="n"/>
      <x:c r="D58" s="7" t="n"/>
      <x:c r="E58" s="7" t="n"/>
      <x:c r="F58" s="7" t="n"/>
      <x:c r="G58" s="7" t="n"/>
      <x:c r="H58" s="7" t="n"/>
      <x:c r="I58" s="9" t="n"/>
      <x:c r="J58" s="7" t="n"/>
      <x:c r="K58" s="7" t="n"/>
    </x:row>
    <x:row r="59">
      <x:c r="A59" s="11" t="n"/>
      <x:c r="B59" s="17">
        <x:f>IF(OR(A59="",'01_Identificacao'!B13=""),"",INT(A59-'01_Identificacao'!B13))</x:f>
      </x:c>
      <x:c r="C59" s="7" t="n"/>
      <x:c r="D59" s="7" t="n"/>
      <x:c r="E59" s="7" t="n"/>
      <x:c r="F59" s="7" t="n"/>
      <x:c r="G59" s="7" t="n"/>
      <x:c r="H59" s="7" t="n"/>
      <x:c r="I59" s="9" t="n"/>
      <x:c r="J59" s="7" t="n"/>
      <x:c r="K59" s="7" t="n"/>
    </x:row>
    <x:row r="60">
      <x:c r="A60" s="11" t="n"/>
      <x:c r="B60" s="17">
        <x:f>IF(OR(A60="",'01_Identificacao'!B13=""),"",INT(A60-'01_Identificacao'!B13))</x:f>
      </x:c>
      <x:c r="C60" s="7" t="n"/>
      <x:c r="D60" s="7" t="n"/>
      <x:c r="E60" s="7" t="n"/>
      <x:c r="F60" s="7" t="n"/>
      <x:c r="G60" s="7" t="n"/>
      <x:c r="H60" s="7" t="n"/>
      <x:c r="I60" s="9" t="n"/>
      <x:c r="J60" s="7" t="n"/>
      <x:c r="K60" s="7" t="n"/>
    </x:row>
    <x:row r="61">
      <x:c r="A61" s="11" t="n"/>
      <x:c r="B61" s="17">
        <x:f>IF(OR(A61="",'01_Identificacao'!B13=""),"",INT(A61-'01_Identificacao'!B13))</x:f>
      </x:c>
      <x:c r="C61" s="7" t="n"/>
      <x:c r="D61" s="7" t="n"/>
      <x:c r="E61" s="7" t="n"/>
      <x:c r="F61" s="7" t="n"/>
      <x:c r="G61" s="7" t="n"/>
      <x:c r="H61" s="7" t="n"/>
      <x:c r="I61" s="9" t="n"/>
      <x:c r="J61" s="7" t="n"/>
      <x:c r="K61" s="7" t="n"/>
    </x:row>
    <x:row r="62">
      <x:c r="A62" s="11" t="n"/>
      <x:c r="B62" s="17">
        <x:f>IF(OR(A62="",'01_Identificacao'!B13=""),"",INT(A62-'01_Identificacao'!B13))</x:f>
      </x:c>
      <x:c r="C62" s="7" t="n"/>
      <x:c r="D62" s="7" t="n"/>
      <x:c r="E62" s="7" t="n"/>
      <x:c r="F62" s="7" t="n"/>
      <x:c r="G62" s="7" t="n"/>
      <x:c r="H62" s="7" t="n"/>
      <x:c r="I62" s="9" t="n"/>
      <x:c r="J62" s="7" t="n"/>
      <x:c r="K62" s="7" t="n"/>
    </x:row>
    <x:row r="63">
      <x:c r="A63" s="11" t="n"/>
      <x:c r="B63" s="17">
        <x:f>IF(OR(A63="",'01_Identificacao'!B13=""),"",INT(A63-'01_Identificacao'!B13))</x:f>
      </x:c>
      <x:c r="C63" s="7" t="n"/>
      <x:c r="D63" s="7" t="n"/>
      <x:c r="E63" s="7" t="n"/>
      <x:c r="F63" s="7" t="n"/>
      <x:c r="G63" s="7" t="n"/>
      <x:c r="H63" s="7" t="n"/>
      <x:c r="I63" s="9" t="n"/>
      <x:c r="J63" s="7" t="n"/>
      <x:c r="K63" s="7" t="n"/>
    </x:row>
    <x:row r="64">
      <x:c r="A64" s="11" t="n"/>
      <x:c r="B64" s="17">
        <x:f>IF(OR(A64="",'01_Identificacao'!B13=""),"",INT(A64-'01_Identificacao'!B13))</x:f>
      </x:c>
      <x:c r="C64" s="7" t="n"/>
      <x:c r="D64" s="7" t="n"/>
      <x:c r="E64" s="7" t="n"/>
      <x:c r="F64" s="7" t="n"/>
      <x:c r="G64" s="7" t="n"/>
      <x:c r="H64" s="7" t="n"/>
      <x:c r="I64" s="9" t="n"/>
      <x:c r="J64" s="7" t="n"/>
      <x:c r="K64" s="7" t="n"/>
    </x:row>
    <x:row r="65">
      <x:c r="A65" s="11" t="n"/>
      <x:c r="B65" s="17">
        <x:f>IF(OR(A65="",'01_Identificacao'!B13=""),"",INT(A65-'01_Identificacao'!B13))</x:f>
      </x:c>
      <x:c r="C65" s="7" t="n"/>
      <x:c r="D65" s="7" t="n"/>
      <x:c r="E65" s="7" t="n"/>
      <x:c r="F65" s="7" t="n"/>
      <x:c r="G65" s="7" t="n"/>
      <x:c r="H65" s="7" t="n"/>
      <x:c r="I65" s="9" t="n"/>
      <x:c r="J65" s="7" t="n"/>
      <x:c r="K65" s="7" t="n"/>
    </x:row>
    <x:row r="66">
      <x:c r="A66" s="11" t="n"/>
      <x:c r="B66" s="17">
        <x:f>IF(OR(A66="",'01_Identificacao'!B13=""),"",INT(A66-'01_Identificacao'!B13))</x:f>
      </x:c>
      <x:c r="C66" s="7" t="n"/>
      <x:c r="D66" s="7" t="n"/>
      <x:c r="E66" s="7" t="n"/>
      <x:c r="F66" s="7" t="n"/>
      <x:c r="G66" s="7" t="n"/>
      <x:c r="H66" s="7" t="n"/>
      <x:c r="I66" s="9" t="n"/>
      <x:c r="J66" s="7" t="n"/>
      <x:c r="K66" s="7" t="n"/>
    </x:row>
    <x:row r="67">
      <x:c r="A67" s="11" t="n"/>
      <x:c r="B67" s="17">
        <x:f>IF(OR(A67="",'01_Identificacao'!B13=""),"",INT(A67-'01_Identificacao'!B13))</x:f>
      </x:c>
      <x:c r="C67" s="7" t="n"/>
      <x:c r="D67" s="7" t="n"/>
      <x:c r="E67" s="7" t="n"/>
      <x:c r="F67" s="7" t="n"/>
      <x:c r="G67" s="7" t="n"/>
      <x:c r="H67" s="7" t="n"/>
      <x:c r="I67" s="9" t="n"/>
      <x:c r="J67" s="7" t="n"/>
      <x:c r="K67" s="7" t="n"/>
    </x:row>
    <x:row r="68">
      <x:c r="A68" s="11" t="n"/>
      <x:c r="B68" s="17">
        <x:f>IF(OR(A68="",'01_Identificacao'!B13=""),"",INT(A68-'01_Identificacao'!B13))</x:f>
      </x:c>
      <x:c r="C68" s="7" t="n"/>
      <x:c r="D68" s="7" t="n"/>
      <x:c r="E68" s="7" t="n"/>
      <x:c r="F68" s="7" t="n"/>
      <x:c r="G68" s="7" t="n"/>
      <x:c r="H68" s="7" t="n"/>
      <x:c r="I68" s="9" t="n"/>
      <x:c r="J68" s="7" t="n"/>
      <x:c r="K68" s="7" t="n"/>
    </x:row>
    <x:row r="69">
      <x:c r="A69" s="11" t="n"/>
      <x:c r="B69" s="17">
        <x:f>IF(OR(A69="",'01_Identificacao'!B13=""),"",INT(A69-'01_Identificacao'!B13))</x:f>
      </x:c>
      <x:c r="C69" s="7" t="n"/>
      <x:c r="D69" s="7" t="n"/>
      <x:c r="E69" s="7" t="n"/>
      <x:c r="F69" s="7" t="n"/>
      <x:c r="G69" s="7" t="n"/>
      <x:c r="H69" s="7" t="n"/>
      <x:c r="I69" s="9" t="n"/>
      <x:c r="J69" s="7" t="n"/>
      <x:c r="K69" s="7" t="n"/>
    </x:row>
    <x:row r="70">
      <x:c r="A70" s="11" t="n"/>
      <x:c r="B70" s="17">
        <x:f>IF(OR(A70="",'01_Identificacao'!B13=""),"",INT(A70-'01_Identificacao'!B13))</x:f>
      </x:c>
      <x:c r="C70" s="7" t="n"/>
      <x:c r="D70" s="7" t="n"/>
      <x:c r="E70" s="7" t="n"/>
      <x:c r="F70" s="7" t="n"/>
      <x:c r="G70" s="7" t="n"/>
      <x:c r="H70" s="7" t="n"/>
      <x:c r="I70" s="9" t="n"/>
      <x:c r="J70" s="7" t="n"/>
      <x:c r="K70" s="7" t="n"/>
    </x:row>
    <x:row r="71">
      <x:c r="A71" s="11" t="n"/>
      <x:c r="B71" s="17">
        <x:f>IF(OR(A71="",'01_Identificacao'!B13=""),"",INT(A71-'01_Identificacao'!B13))</x:f>
      </x:c>
      <x:c r="C71" s="7" t="n"/>
      <x:c r="D71" s="7" t="n"/>
      <x:c r="E71" s="7" t="n"/>
      <x:c r="F71" s="7" t="n"/>
      <x:c r="G71" s="7" t="n"/>
      <x:c r="H71" s="7" t="n"/>
      <x:c r="I71" s="9" t="n"/>
      <x:c r="J71" s="7" t="n"/>
      <x:c r="K71" s="7" t="n"/>
    </x:row>
    <x:row r="72">
      <x:c r="A72" s="11" t="n"/>
      <x:c r="B72" s="17">
        <x:f>IF(OR(A72="",'01_Identificacao'!B13=""),"",INT(A72-'01_Identificacao'!B13))</x:f>
      </x:c>
      <x:c r="C72" s="7" t="n"/>
      <x:c r="D72" s="7" t="n"/>
      <x:c r="E72" s="7" t="n"/>
      <x:c r="F72" s="7" t="n"/>
      <x:c r="G72" s="7" t="n"/>
      <x:c r="H72" s="7" t="n"/>
      <x:c r="I72" s="9" t="n"/>
      <x:c r="J72" s="7" t="n"/>
      <x:c r="K72" s="7" t="n"/>
    </x:row>
    <x:row r="73">
      <x:c r="A73" s="11" t="n"/>
      <x:c r="B73" s="17">
        <x:f>IF(OR(A73="",'01_Identificacao'!B13=""),"",INT(A73-'01_Identificacao'!B13))</x:f>
      </x:c>
      <x:c r="C73" s="7" t="n"/>
      <x:c r="D73" s="7" t="n"/>
      <x:c r="E73" s="7" t="n"/>
      <x:c r="F73" s="7" t="n"/>
      <x:c r="G73" s="7" t="n"/>
      <x:c r="H73" s="7" t="n"/>
      <x:c r="I73" s="9" t="n"/>
      <x:c r="J73" s="7" t="n"/>
      <x:c r="K73" s="7" t="n"/>
    </x:row>
  </x:sheetData>
  <x:mergeCells>
    <x:mergeCell ref="A2:K2"/>
    <x:mergeCell ref="A1:K1"/>
    <x:mergeCell ref="A12:K12"/>
    <x:mergeCell ref="A3:K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customWidth="1"/>
    <x:col min="2" max="2" width="22" customWidth="1"/>
    <x:col min="3" max="3" width="60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</x:cols>
  <x:sheetData>
    <x:row r="1" ht="26" customHeight="1">
      <x:c r="A1" s="1" t="inlineStr">
        <x:is>
          <x:t xml:space="preserve">03 – Diagnóstico Técnico, Causa Provável e Causa Raiz (RANP 44 – 10.4.1 j,k / 10.4.2 l,m)</x:t>
        </x:is>
      </x:c>
    </x:row>
    <x:row r="2" ht="18" customHeight="1">
      <x:c r="A2" s="2" t="inlineStr">
        <x:is>
          <x:t xml:space="preserve">Use esta aba para consolidar a descrição técnica, causa provável (parcial) e fato determinante (final).</x:t>
        </x:is>
      </x:c>
    </x:row>
    <x:row r="3">
      <x:c r="A3" s="13" t="inlineStr">
        <x:is>
          <x:t xml:space="preserve">1) Breve descrição do evento (RANP 44 – 10.4.1(j))</x:t>
        </x:is>
      </x:c>
    </x:row>
    <x:row r="4" ht="22" customHeight="1">
      <x:c r="A4" s="18" t="inlineStr">
        <x:is>
          <x:t xml:space="preserve"/>
        </x:is>
      </x:c>
      <x:c r="B4" s="19" t="n"/>
      <x:c r="C4" s="19" t="n"/>
      <x:c r="D4" s="19" t="n"/>
      <x:c r="E4" s="19" t="n"/>
      <x:c r="F4" s="19" t="n"/>
      <x:c r="G4" s="19" t="n"/>
      <x:c r="H4" s="19" t="n"/>
      <x:c r="I4" s="19" t="n"/>
      <x:c r="J4" s="20" t="n"/>
    </x:row>
    <x:row r="5" ht="22" customHeight="1">
      <x:c r="A5" s="34" t="n"/>
      <x:c r="J5" s="35" t="n"/>
    </x:row>
    <x:row r="6" ht="22" customHeight="1">
      <x:c r="A6" s="34" t="n"/>
      <x:c r="J6" s="35" t="n"/>
    </x:row>
    <x:row r="7" ht="22" customHeight="1">
      <x:c r="A7" s="34" t="n"/>
      <x:c r="J7" s="35" t="n"/>
    </x:row>
    <x:row r="8" ht="22" customHeight="1">
      <x:c r="A8" s="34" t="n"/>
      <x:c r="J8" s="35" t="n"/>
    </x:row>
    <x:row r="9" ht="22" customHeight="1">
      <x:c r="A9" s="34" t="n"/>
      <x:c r="J9" s="35" t="n"/>
    </x:row>
    <x:row r="10" ht="22" customHeight="1">
      <x:c r="A10" s="21" t="n"/>
      <x:c r="B10" s="22" t="n"/>
      <x:c r="C10" s="22" t="n"/>
      <x:c r="D10" s="22" t="n"/>
      <x:c r="E10" s="22" t="n"/>
      <x:c r="F10" s="22" t="n"/>
      <x:c r="G10" s="22" t="n"/>
      <x:c r="H10" s="22" t="n"/>
      <x:c r="I10" s="22" t="n"/>
      <x:c r="J10" s="23" t="n"/>
    </x:row>
    <x:row r="12">
      <x:c r="A12" s="13" t="inlineStr">
        <x:is>
          <x:t xml:space="preserve">2) Causa provável (fase inicial) – RANP 44 – 10.4.1(k)</x:t>
        </x:is>
      </x:c>
    </x:row>
    <x:row r="13">
      <x:c r="A13" s="5" t="inlineStr">
        <x:is>
          <x:t xml:space="preserve">Categoria</x:t>
        </x:is>
      </x:c>
      <x:c r="B13" s="5" t="inlineStr">
        <x:is>
          <x:t xml:space="preserve">Seleção</x:t>
        </x:is>
      </x:c>
      <x:c r="C13" s="5" t="inlineStr">
        <x:is>
          <x:t xml:space="preserve">Evidência mínima</x:t>
        </x:is>
      </x:c>
    </x:row>
    <x:row r="14">
      <x:c r="A14" s="6" t="inlineStr">
        <x:is>
          <x:t xml:space="preserve">Falha de hardware (sensor/transmissor)</x:t>
        </x:is>
      </x:c>
      <x:c r="B14" s="9" t="inlineStr">
        <x:is>
          <x:t xml:space="preserve"/>
        </x:is>
      </x:c>
      <x:c r="C14" s="6" t="inlineStr">
        <x:is>
          <x:t xml:space="preserve">Log/alarme, diagnóstico, relatório vendor</x:t>
        </x:is>
      </x:c>
    </x:row>
    <x:row r="15">
      <x:c r="A15" s="6" t="inlineStr">
        <x:is>
          <x:t xml:space="preserve">Erro de parametrização / PVT / EOS</x:t>
        </x:is>
      </x:c>
      <x:c r="B15" s="9" t="inlineStr">
        <x:is>
          <x:t xml:space="preserve"/>
        </x:is>
      </x:c>
      <x:c r="C15" s="6" t="inlineStr">
        <x:is>
          <x:t xml:space="preserve">Comparação modelo PVT, logs FCS/PDS</x:t>
        </x:is>
      </x:c>
    </x:row>
    <x:row r="16">
      <x:c r="A16" s="6" t="inlineStr">
        <x:is>
          <x:t xml:space="preserve">Instabilidade de processo (slugging, emulsão, GVF)</x:t>
        </x:is>
      </x:c>
      <x:c r="B16" s="9" t="inlineStr">
        <x:is>
          <x:t xml:space="preserve"/>
        </x:is>
      </x:c>
      <x:c r="C16" s="6" t="inlineStr">
        <x:is>
          <x:t xml:space="preserve">PI trends, operação, teste separador</x:t>
        </x:is>
      </x:c>
    </x:row>
    <x:row r="17">
      <x:c r="A17" s="6" t="inlineStr">
        <x:is>
          <x:t xml:space="preserve">Falha de comunicação / rede / firewall</x:t>
        </x:is>
      </x:c>
      <x:c r="B17" s="9" t="inlineStr">
        <x:is>
          <x:t xml:space="preserve"/>
        </x:is>
      </x:c>
      <x:c r="C17" s="6" t="inlineStr">
        <x:is>
          <x:t xml:space="preserve">Ping, logs, IT/OT report</x:t>
        </x:is>
      </x:c>
    </x:row>
    <x:row r="18">
      <x:c r="A18" s="6" t="inlineStr">
        <x:is>
          <x:t xml:space="preserve">Problema de alimentação/energia</x:t>
        </x:is>
      </x:c>
      <x:c r="B18" s="9" t="inlineStr">
        <x:is>
          <x:t xml:space="preserve"/>
        </x:is>
      </x:c>
      <x:c r="C18" s="6" t="inlineStr">
        <x:is>
          <x:t xml:space="preserve">Eventos de power, UPS, registros</x:t>
        </x:is>
      </x:c>
    </x:row>
    <x:row r="19">
      <x:c r="A19" s="6" t="inlineStr">
        <x:is>
          <x:t xml:space="preserve">Interferência externa (pigging, ESD, químicos)</x:t>
        </x:is>
      </x:c>
      <x:c r="B19" s="9" t="inlineStr">
        <x:is>
          <x:t xml:space="preserve"/>
        </x:is>
      </x:c>
      <x:c r="C19" s="6" t="inlineStr">
        <x:is>
          <x:t xml:space="preserve">Log operacional, ata</x:t>
        </x:is>
      </x:c>
    </x:row>
    <x:row r="20">
      <x:c r="A20" s="6" t="inlineStr">
        <x:is>
          <x:t xml:space="preserve">Outros (descrever)</x:t>
        </x:is>
      </x:c>
      <x:c r="B20" s="9" t="inlineStr">
        <x:is>
          <x:t xml:space="preserve"/>
        </x:is>
      </x:c>
      <x:c r="C20" s="6" t="inlineStr">
        <x:is>
          <x:t xml:space="preserve">Evidência anexada</x:t>
        </x:is>
      </x:c>
    </x:row>
    <x:row r="23">
      <x:c r="A23" s="13" t="inlineStr">
        <x:is>
          <x:t xml:space="preserve">3) Fato(s) determinante(s) / Causa raiz (Relatório Final) – RANP 44 – 10.4.2(m)</x:t>
        </x:is>
      </x:c>
    </x:row>
    <x:row r="24" ht="22" customHeight="1">
      <x:c r="A24" s="18" t="n"/>
      <x:c r="B24" s="19" t="n"/>
      <x:c r="C24" s="19" t="n"/>
      <x:c r="D24" s="19" t="n"/>
      <x:c r="E24" s="19" t="n"/>
      <x:c r="F24" s="19" t="n"/>
      <x:c r="G24" s="19" t="n"/>
      <x:c r="H24" s="19" t="n"/>
      <x:c r="I24" s="19" t="n"/>
      <x:c r="J24" s="20" t="n"/>
    </x:row>
    <x:row r="25" ht="22" customHeight="1">
      <x:c r="A25" s="34" t="n"/>
      <x:c r="J25" s="35" t="n"/>
    </x:row>
    <x:row r="26" ht="22" customHeight="1">
      <x:c r="A26" s="34" t="n"/>
      <x:c r="J26" s="35" t="n"/>
    </x:row>
    <x:row r="27" ht="22" customHeight="1">
      <x:c r="A27" s="34" t="n"/>
      <x:c r="J27" s="35" t="n"/>
    </x:row>
    <x:row r="28" ht="22" customHeight="1">
      <x:c r="A28" s="34" t="n"/>
      <x:c r="J28" s="35" t="n"/>
    </x:row>
    <x:row r="29" ht="22" customHeight="1">
      <x:c r="A29" s="21" t="n"/>
      <x:c r="B29" s="22" t="n"/>
      <x:c r="C29" s="22" t="n"/>
      <x:c r="D29" s="22" t="n"/>
      <x:c r="E29" s="22" t="n"/>
      <x:c r="F29" s="22" t="n"/>
      <x:c r="G29" s="22" t="n"/>
      <x:c r="H29" s="22" t="n"/>
      <x:c r="I29" s="22" t="n"/>
      <x:c r="J29" s="23" t="n"/>
    </x:row>
    <x:row r="31">
      <x:c r="A31" s="13" t="inlineStr">
        <x:is>
          <x:t xml:space="preserve">4) Fatores externos contribuintes (RANP 44 – 10.4.2(l))</x:t>
        </x:is>
      </x:c>
    </x:row>
    <x:row r="32" ht="22" customHeight="1">
      <x:c r="A32" s="18" t="n"/>
      <x:c r="B32" s="19" t="n"/>
      <x:c r="C32" s="19" t="n"/>
      <x:c r="D32" s="19" t="n"/>
      <x:c r="E32" s="19" t="n"/>
      <x:c r="F32" s="19" t="n"/>
      <x:c r="G32" s="19" t="n"/>
      <x:c r="H32" s="19" t="n"/>
      <x:c r="I32" s="19" t="n"/>
      <x:c r="J32" s="20" t="n"/>
    </x:row>
    <x:row r="33" ht="22" customHeight="1">
      <x:c r="A33" s="34" t="n"/>
      <x:c r="J33" s="35" t="n"/>
    </x:row>
    <x:row r="34" ht="22" customHeight="1">
      <x:c r="A34" s="34" t="n"/>
      <x:c r="J34" s="35" t="n"/>
    </x:row>
    <x:row r="35" ht="22" customHeight="1">
      <x:c r="A35" s="21" t="n"/>
      <x:c r="B35" s="22" t="n"/>
      <x:c r="C35" s="22" t="n"/>
      <x:c r="D35" s="22" t="n"/>
      <x:c r="E35" s="22" t="n"/>
      <x:c r="F35" s="22" t="n"/>
      <x:c r="G35" s="22" t="n"/>
      <x:c r="H35" s="22" t="n"/>
      <x:c r="I35" s="22" t="n"/>
      <x:c r="J35" s="23" t="n"/>
    </x:row>
    <x:row r="37">
      <x:c r="A37" s="13" t="inlineStr">
        <x:is>
          <x:t xml:space="preserve">5) Análise estruturada (opcional, recomendado): 5 Porquês / Ishikawa</x:t>
        </x:is>
      </x:c>
    </x:row>
    <x:row r="38">
      <x:c r="A38" s="5" t="inlineStr">
        <x:is>
          <x:t xml:space="preserve">Por quê?</x:t>
        </x:is>
      </x:c>
      <x:c r="B38" s="5" t="inlineStr">
        <x:is>
          <x:t xml:space="preserve">Resposta / evidência</x:t>
        </x:is>
      </x:c>
      <x:c r="C38" s="5" t="n"/>
      <x:c r="D38" s="5" t="n"/>
      <x:c r="E38" s="5" t="n"/>
      <x:c r="F38" s="5" t="n"/>
      <x:c r="G38" s="5" t="n"/>
      <x:c r="H38" s="5" t="n"/>
      <x:c r="I38" s="5" t="inlineStr">
        <x:is>
          <x:t xml:space="preserve">Validado? (SIM/NÃO)</x:t>
        </x:is>
      </x:c>
      <x:c r="J38" s="5" t="n"/>
    </x:row>
    <x:row r="39">
      <x:c r="A39" s="6" t="inlineStr">
        <x:is>
          <x:t xml:space="preserve">1</x:t>
        </x:is>
      </x:c>
      <x:c r="B39" s="7" t="n"/>
      <x:c r="C39" s="36" t="n"/>
      <x:c r="D39" s="36" t="n"/>
      <x:c r="E39" s="36" t="n"/>
      <x:c r="F39" s="36" t="n"/>
      <x:c r="G39" s="36" t="n"/>
      <x:c r="H39" s="37" t="n"/>
      <x:c r="I39" s="7" t="n"/>
      <x:c r="J39" s="7" t="inlineStr">
        <x:is>
          <x:t xml:space="preserve"/>
        </x:is>
      </x:c>
    </x:row>
    <x:row r="40">
      <x:c r="A40" s="6" t="inlineStr">
        <x:is>
          <x:t xml:space="preserve">2</x:t>
        </x:is>
      </x:c>
      <x:c r="B40" s="7" t="n"/>
      <x:c r="C40" s="36" t="n"/>
      <x:c r="D40" s="36" t="n"/>
      <x:c r="E40" s="36" t="n"/>
      <x:c r="F40" s="36" t="n"/>
      <x:c r="G40" s="36" t="n"/>
      <x:c r="H40" s="37" t="n"/>
      <x:c r="I40" s="7" t="n"/>
      <x:c r="J40" s="7" t="inlineStr">
        <x:is>
          <x:t xml:space="preserve"/>
        </x:is>
      </x:c>
    </x:row>
    <x:row r="41">
      <x:c r="A41" s="6" t="inlineStr">
        <x:is>
          <x:t xml:space="preserve">3</x:t>
        </x:is>
      </x:c>
      <x:c r="B41" s="7" t="n"/>
      <x:c r="C41" s="36" t="n"/>
      <x:c r="D41" s="36" t="n"/>
      <x:c r="E41" s="36" t="n"/>
      <x:c r="F41" s="36" t="n"/>
      <x:c r="G41" s="36" t="n"/>
      <x:c r="H41" s="37" t="n"/>
      <x:c r="I41" s="7" t="n"/>
      <x:c r="J41" s="7" t="inlineStr">
        <x:is>
          <x:t xml:space="preserve"/>
        </x:is>
      </x:c>
    </x:row>
    <x:row r="42">
      <x:c r="A42" s="6" t="inlineStr">
        <x:is>
          <x:t xml:space="preserve">4</x:t>
        </x:is>
      </x:c>
      <x:c r="B42" s="7" t="n"/>
      <x:c r="C42" s="36" t="n"/>
      <x:c r="D42" s="36" t="n"/>
      <x:c r="E42" s="36" t="n"/>
      <x:c r="F42" s="36" t="n"/>
      <x:c r="G42" s="36" t="n"/>
      <x:c r="H42" s="37" t="n"/>
      <x:c r="I42" s="7" t="n"/>
      <x:c r="J42" s="7" t="inlineStr">
        <x:is>
          <x:t xml:space="preserve"/>
        </x:is>
      </x:c>
    </x:row>
    <x:row r="43">
      <x:c r="A43" s="6" t="inlineStr">
        <x:is>
          <x:t xml:space="preserve">5</x:t>
        </x:is>
      </x:c>
      <x:c r="B43" s="7" t="n"/>
      <x:c r="C43" s="36" t="n"/>
      <x:c r="D43" s="36" t="n"/>
      <x:c r="E43" s="36" t="n"/>
      <x:c r="F43" s="36" t="n"/>
      <x:c r="G43" s="36" t="n"/>
      <x:c r="H43" s="37" t="n"/>
      <x:c r="I43" s="7" t="n"/>
      <x:c r="J43" s="7" t="inlineStr">
        <x:is>
          <x:t xml:space="preserve"/>
        </x:is>
      </x:c>
    </x:row>
    <x:row r="45">
      <x:c r="A45" s="13" t="inlineStr">
        <x:is>
          <x:t xml:space="preserve">6) Resumo da cronologia e descrição técnica (Relatório Final) – RANP 44 – 10.4.2(k)</x:t>
        </x:is>
      </x:c>
    </x:row>
    <x:row r="46" ht="22" customHeight="1">
      <x:c r="A46" s="18" t="n"/>
      <x:c r="B46" s="19" t="n"/>
      <x:c r="C46" s="19" t="n"/>
      <x:c r="D46" s="19" t="n"/>
      <x:c r="E46" s="19" t="n"/>
      <x:c r="F46" s="19" t="n"/>
      <x:c r="G46" s="19" t="n"/>
      <x:c r="H46" s="19" t="n"/>
      <x:c r="I46" s="19" t="n"/>
      <x:c r="J46" s="20" t="n"/>
    </x:row>
    <x:row r="47" ht="22" customHeight="1">
      <x:c r="A47" s="34" t="n"/>
      <x:c r="J47" s="35" t="n"/>
    </x:row>
    <x:row r="48" ht="22" customHeight="1">
      <x:c r="A48" s="34" t="n"/>
      <x:c r="J48" s="35" t="n"/>
    </x:row>
    <x:row r="49" ht="22" customHeight="1">
      <x:c r="A49" s="34" t="n"/>
      <x:c r="J49" s="35" t="n"/>
    </x:row>
    <x:row r="50" ht="22" customHeight="1">
      <x:c r="A50" s="21" t="n"/>
      <x:c r="B50" s="22" t="n"/>
      <x:c r="C50" s="22" t="n"/>
      <x:c r="D50" s="22" t="n"/>
      <x:c r="E50" s="22" t="n"/>
      <x:c r="F50" s="22" t="n"/>
      <x:c r="G50" s="22" t="n"/>
      <x:c r="H50" s="22" t="n"/>
      <x:c r="I50" s="22" t="n"/>
      <x:c r="J50" s="23" t="n"/>
    </x:row>
    <x:row r="52">
      <x:c r="A52" s="13" t="inlineStr">
        <x:is>
          <x:t xml:space="preserve">7) Medidas adotadas até o momento (Parcial 10.4.1(m) / Final 10.4.2(q))</x:t>
        </x:is>
      </x:c>
    </x:row>
    <x:row r="53" ht="22" customHeight="1">
      <x:c r="A53" s="18" t="n"/>
      <x:c r="B53" s="19" t="n"/>
      <x:c r="C53" s="19" t="n"/>
      <x:c r="D53" s="19" t="n"/>
      <x:c r="E53" s="19" t="n"/>
      <x:c r="F53" s="19" t="n"/>
      <x:c r="G53" s="19" t="n"/>
      <x:c r="H53" s="19" t="n"/>
      <x:c r="I53" s="19" t="n"/>
      <x:c r="J53" s="20" t="n"/>
    </x:row>
    <x:row r="54" ht="22" customHeight="1">
      <x:c r="A54" s="34" t="n"/>
      <x:c r="J54" s="35" t="n"/>
    </x:row>
    <x:row r="55" ht="22" customHeight="1">
      <x:c r="A55" s="34" t="n"/>
      <x:c r="J55" s="35" t="n"/>
    </x:row>
    <x:row r="56" ht="22" customHeight="1">
      <x:c r="A56" s="21" t="n"/>
      <x:c r="B56" s="22" t="n"/>
      <x:c r="C56" s="22" t="n"/>
      <x:c r="D56" s="22" t="n"/>
      <x:c r="E56" s="22" t="n"/>
      <x:c r="F56" s="22" t="n"/>
      <x:c r="G56" s="22" t="n"/>
      <x:c r="H56" s="22" t="n"/>
      <x:c r="I56" s="22" t="n"/>
      <x:c r="J56" s="23" t="n"/>
    </x:row>
    <x:row r="58">
      <x:c r="A58" s="13" t="inlineStr">
        <x:is>
          <x:t xml:space="preserve">8) Observações e informações complementares (Parcial 10.4.1(n) / Final 10.4.2(s))</x:t>
        </x:is>
      </x:c>
    </x:row>
    <x:row r="59" ht="22" customHeight="1">
      <x:c r="A59" s="18" t="n"/>
      <x:c r="B59" s="19" t="n"/>
      <x:c r="C59" s="19" t="n"/>
      <x:c r="D59" s="19" t="n"/>
      <x:c r="E59" s="19" t="n"/>
      <x:c r="F59" s="19" t="n"/>
      <x:c r="G59" s="19" t="n"/>
      <x:c r="H59" s="19" t="n"/>
      <x:c r="I59" s="19" t="n"/>
      <x:c r="J59" s="20" t="n"/>
    </x:row>
    <x:row r="60" ht="22" customHeight="1">
      <x:c r="A60" s="34" t="n"/>
      <x:c r="J60" s="35" t="n"/>
    </x:row>
    <x:row r="61" ht="22" customHeight="1">
      <x:c r="A61" s="21" t="n"/>
      <x:c r="B61" s="22" t="n"/>
      <x:c r="C61" s="22" t="n"/>
      <x:c r="D61" s="22" t="n"/>
      <x:c r="E61" s="22" t="n"/>
      <x:c r="F61" s="22" t="n"/>
      <x:c r="G61" s="22" t="n"/>
      <x:c r="H61" s="22" t="n"/>
      <x:c r="I61" s="22" t="n"/>
      <x:c r="J61" s="23" t="n"/>
    </x:row>
    <x:row r="63">
      <x:c r="A63" s="13" t="inlineStr">
        <x:is>
          <x:t xml:space="preserve">9) Metodologia utilizada (Relatório Final) – RANP 44 – 10.4.2(j) (referenciar Aba 02)</x:t>
        </x:is>
      </x:c>
    </x:row>
    <x:row r="64" ht="22" customHeight="1">
      <x:c r="A64" s="18" t="inlineStr">
        <x:is>
          <x:t xml:space="preserve"/>
        </x:is>
      </x:c>
      <x:c r="B64" s="19" t="n"/>
      <x:c r="C64" s="19" t="n"/>
      <x:c r="D64" s="19" t="n"/>
      <x:c r="E64" s="19" t="n"/>
      <x:c r="F64" s="19" t="n"/>
      <x:c r="G64" s="19" t="n"/>
      <x:c r="H64" s="19" t="n"/>
      <x:c r="I64" s="19" t="n"/>
      <x:c r="J64" s="20" t="n"/>
    </x:row>
    <x:row r="65" ht="22" customHeight="1">
      <x:c r="A65" s="21" t="n"/>
      <x:c r="B65" s="22" t="n"/>
      <x:c r="C65" s="22" t="n"/>
      <x:c r="D65" s="22" t="n"/>
      <x:c r="E65" s="22" t="n"/>
      <x:c r="F65" s="22" t="n"/>
      <x:c r="G65" s="22" t="n"/>
      <x:c r="H65" s="22" t="n"/>
      <x:c r="I65" s="22" t="n"/>
      <x:c r="J65" s="23" t="n"/>
    </x:row>
  </x:sheetData>
  <x:mergeCells>
    <x:mergeCell ref="A23:J23"/>
    <x:mergeCell ref="B40:H40"/>
    <x:mergeCell ref="A24:J29"/>
    <x:mergeCell ref="A52:J52"/>
    <x:mergeCell ref="A63:J63"/>
    <x:mergeCell ref="A31:J31"/>
    <x:mergeCell ref="B41:H41"/>
    <x:mergeCell ref="A58:J58"/>
    <x:mergeCell ref="A59:J61"/>
    <x:mergeCell ref="A4:J10"/>
    <x:mergeCell ref="A64:J64"/>
    <x:mergeCell ref="A1:J1"/>
    <x:mergeCell ref="A45:J45"/>
    <x:mergeCell ref="A32:J35"/>
    <x:mergeCell ref="B43:H43"/>
    <x:mergeCell ref="B39:H39"/>
    <x:mergeCell ref="B42:H42"/>
    <x:mergeCell ref="A53:J56"/>
    <x:mergeCell ref="A37:J37"/>
    <x:mergeCell ref="A3:J3"/>
    <x:mergeCell ref="A12:J12"/>
    <x:mergeCell ref="A2:J2"/>
    <x:mergeCell ref="A64:J65"/>
    <x:mergeCell ref="A46:J5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customWidth="1"/>
    <x:col min="2" max="2" width="24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</x:cols>
  <x:sheetData>
    <x:row r="1" ht="26" customHeight="1">
      <x:c r="A1" s="1" t="inlineStr">
        <x:is>
          <x:t xml:space="preserve">04 – Plano de Contingência e Ações Corretivas/Preventivas (RANP 44 – 10.5 a 10.8 / 10.4.2 n–r)</x:t>
        </x:is>
      </x:c>
    </x:row>
    <x:row r="2" ht="18" customHeight="1">
      <x:c r="A2" s="2" t="inlineStr">
        <x:is>
          <x:t xml:space="preserve">Registre contingência, mitigação e cronograma. Prazos (60/120 dias) são calculados com base no ambiente selecionado na Aba 01.</x:t>
        </x:is>
      </x:c>
    </x:row>
    <x:row r="3">
      <x:c r="A3" s="13" t="inlineStr">
        <x:is>
          <x:t xml:space="preserve">Status da Contingência (RANP 44 – 10.5/10.6 e 10.4.1(l))</x:t>
        </x:is>
      </x:c>
    </x:row>
    <x:row r="4">
      <x:c r="A4" s="5" t="inlineStr">
        <x:is>
          <x:t xml:space="preserve">Status</x:t>
        </x:is>
      </x:c>
      <x:c r="B4" s="5" t="inlineStr">
        <x:is>
          <x:t xml:space="preserve">Data de início</x:t>
        </x:is>
      </x:c>
      <x:c r="C4" s="5" t="inlineStr">
        <x:is>
          <x:t xml:space="preserve">Metodologia de contingência (Anexo 6)</x:t>
        </x:is>
      </x:c>
      <x:c r="D4" s="5" t="inlineStr">
        <x:is>
          <x:t xml:space="preserve">Referência</x:t>
        </x:is>
      </x:c>
      <x:c r="E4" s="5" t="inlineStr">
        <x:is>
          <x:t xml:space="preserve">Responsável</x:t>
        </x:is>
      </x:c>
      <x:c r="F4" s="5" t="inlineStr">
        <x:is>
          <x:t xml:space="preserve">Observação</x:t>
        </x:is>
      </x:c>
    </x:row>
    <x:row r="5">
      <x:c r="A5" s="9" t="n"/>
      <x:c r="B5" s="12" t="n"/>
      <x:c r="C5" s="7" t="n"/>
      <x:c r="D5" s="7" t="n"/>
      <x:c r="E5" s="7" t="n"/>
      <x:c r="F5" s="7" t="n"/>
    </x:row>
    <x:row r="7">
      <x:c r="A7" s="13" t="inlineStr">
        <x:is>
          <x:t xml:space="preserve">Medidas mitigadoras (durante falha) – RANP 44 – 10.4.2(n)</x:t>
        </x:is>
      </x:c>
    </x:row>
    <x:row r="8" ht="22" customHeight="1">
      <x:c r="A8" s="18" t="n"/>
      <x:c r="B8" s="19" t="n"/>
      <x:c r="C8" s="19" t="n"/>
      <x:c r="D8" s="19" t="n"/>
      <x:c r="E8" s="19" t="n"/>
      <x:c r="F8" s="19" t="n"/>
      <x:c r="G8" s="19" t="n"/>
      <x:c r="H8" s="19" t="n"/>
      <x:c r="I8" s="19" t="n"/>
      <x:c r="J8" s="19" t="n"/>
      <x:c r="K8" s="19" t="n"/>
      <x:c r="L8" s="20" t="n"/>
    </x:row>
    <x:row r="9" ht="22" customHeight="1">
      <x:c r="A9" s="34" t="n"/>
      <x:c r="L9" s="35" t="n"/>
    </x:row>
    <x:row r="10" ht="22" customHeight="1">
      <x:c r="A10" s="34" t="n"/>
      <x:c r="L10" s="35" t="n"/>
    </x:row>
    <x:row r="11" ht="22" customHeight="1">
      <x:c r="A11" s="21" t="n"/>
      <x:c r="B11" s="22" t="n"/>
      <x:c r="C11" s="22" t="n"/>
      <x:c r="D11" s="22" t="n"/>
      <x:c r="E11" s="22" t="n"/>
      <x:c r="F11" s="22" t="n"/>
      <x:c r="G11" s="22" t="n"/>
      <x:c r="H11" s="22" t="n"/>
      <x:c r="I11" s="22" t="n"/>
      <x:c r="J11" s="22" t="n"/>
      <x:c r="K11" s="22" t="n"/>
      <x:c r="L11" s="23" t="n"/>
    </x:row>
    <x:row r="13">
      <x:c r="A13" s="13" t="inlineStr">
        <x:is>
          <x:t xml:space="preserve">Recomendações para evitar recorrência (CAPA preventiva) – RANP 44 – 10.4.2(o)</x:t>
        </x:is>
      </x:c>
    </x:row>
    <x:row r="14">
      <x:c r="A14" s="5" t="inlineStr">
        <x:is>
          <x:t xml:space="preserve">Ação recomendada</x:t>
        </x:is>
      </x:c>
      <x:c r="B14" s="5" t="inlineStr">
        <x:is>
          <x:t xml:space="preserve">Tipo (C/P)</x:t>
        </x:is>
      </x:c>
      <x:c r="C14" s="5" t="inlineStr">
        <x:is>
          <x:t xml:space="preserve">Prioridade</x:t>
        </x:is>
      </x:c>
      <x:c r="D14" s="5" t="inlineStr">
        <x:is>
          <x:t xml:space="preserve">Responsável</x:t>
        </x:is>
      </x:c>
      <x:c r="E14" s="5" t="inlineStr">
        <x:is>
          <x:t xml:space="preserve">Prazo (data)</x:t>
        </x:is>
      </x:c>
      <x:c r="F14" s="5" t="inlineStr">
        <x:is>
          <x:t xml:space="preserve">Status</x:t>
        </x:is>
      </x:c>
      <x:c r="G14" s="5" t="inlineStr">
        <x:is>
          <x:t xml:space="preserve">Evidência (Anexo)</x:t>
        </x:is>
      </x:c>
      <x:c r="H14" s="5" t="inlineStr">
        <x:is>
          <x:t xml:space="preserve">Critério de eficácia</x:t>
        </x:is>
      </x:c>
      <x:c r="I14" s="5" t="inlineStr">
        <x:is>
          <x:t xml:space="preserve">Data verificação</x:t>
        </x:is>
      </x:c>
      <x:c r="J14" s="5" t="inlineStr">
        <x:is>
          <x:t xml:space="preserve">Resultado</x:t>
        </x:is>
      </x:c>
      <x:c r="K14" s="5" t="inlineStr">
        <x:is>
          <x:t xml:space="preserve">Observação</x:t>
        </x:is>
      </x:c>
      <x:c r="L14" s="5" t="inlineStr">
        <x:is>
          <x:t xml:space="preserve">Item RANP</x:t>
        </x:is>
      </x:c>
    </x:row>
    <x:row r="15">
      <x:c r="A15" s="7" t="n"/>
      <x:c r="B15" s="9" t="n"/>
      <x:c r="C15" s="9" t="n"/>
      <x:c r="D15" s="7" t="n"/>
      <x:c r="E15" s="12" t="n"/>
      <x:c r="F15" s="9" t="n"/>
      <x:c r="G15" s="7" t="n"/>
      <x:c r="H15" s="7" t="n"/>
      <x:c r="I15" s="12" t="n"/>
      <x:c r="J15" s="7" t="n"/>
      <x:c r="K15" s="7" t="n"/>
      <x:c r="L15" s="7" t="n"/>
    </x:row>
    <x:row r="16">
      <x:c r="A16" s="7" t="n"/>
      <x:c r="B16" s="9" t="n"/>
      <x:c r="C16" s="9" t="n"/>
      <x:c r="D16" s="7" t="n"/>
      <x:c r="E16" s="12" t="n"/>
      <x:c r="F16" s="9" t="n"/>
      <x:c r="G16" s="7" t="n"/>
      <x:c r="H16" s="7" t="n"/>
      <x:c r="I16" s="12" t="n"/>
      <x:c r="J16" s="7" t="n"/>
      <x:c r="K16" s="7" t="n"/>
      <x:c r="L16" s="7" t="n"/>
    </x:row>
    <x:row r="17">
      <x:c r="A17" s="7" t="n"/>
      <x:c r="B17" s="9" t="n"/>
      <x:c r="C17" s="9" t="n"/>
      <x:c r="D17" s="7" t="n"/>
      <x:c r="E17" s="12" t="n"/>
      <x:c r="F17" s="9" t="n"/>
      <x:c r="G17" s="7" t="n"/>
      <x:c r="H17" s="7" t="n"/>
      <x:c r="I17" s="12" t="n"/>
      <x:c r="J17" s="7" t="n"/>
      <x:c r="K17" s="7" t="n"/>
      <x:c r="L17" s="7" t="n"/>
    </x:row>
    <x:row r="18">
      <x:c r="A18" s="7" t="n"/>
      <x:c r="B18" s="9" t="n"/>
      <x:c r="C18" s="9" t="n"/>
      <x:c r="D18" s="7" t="n"/>
      <x:c r="E18" s="12" t="n"/>
      <x:c r="F18" s="9" t="n"/>
      <x:c r="G18" s="7" t="n"/>
      <x:c r="H18" s="7" t="n"/>
      <x:c r="I18" s="12" t="n"/>
      <x:c r="J18" s="7" t="n"/>
      <x:c r="K18" s="7" t="n"/>
      <x:c r="L18" s="7" t="n"/>
    </x:row>
    <x:row r="19">
      <x:c r="A19" s="7" t="n"/>
      <x:c r="B19" s="9" t="n"/>
      <x:c r="C19" s="9" t="n"/>
      <x:c r="D19" s="7" t="n"/>
      <x:c r="E19" s="12" t="n"/>
      <x:c r="F19" s="9" t="n"/>
      <x:c r="G19" s="7" t="n"/>
      <x:c r="H19" s="7" t="n"/>
      <x:c r="I19" s="12" t="n"/>
      <x:c r="J19" s="7" t="n"/>
      <x:c r="K19" s="7" t="n"/>
      <x:c r="L19" s="7" t="n"/>
    </x:row>
    <x:row r="20">
      <x:c r="A20" s="7" t="n"/>
      <x:c r="B20" s="9" t="n"/>
      <x:c r="C20" s="9" t="n"/>
      <x:c r="D20" s="7" t="n"/>
      <x:c r="E20" s="12" t="n"/>
      <x:c r="F20" s="9" t="n"/>
      <x:c r="G20" s="7" t="n"/>
      <x:c r="H20" s="7" t="n"/>
      <x:c r="I20" s="12" t="n"/>
      <x:c r="J20" s="7" t="n"/>
      <x:c r="K20" s="7" t="n"/>
      <x:c r="L20" s="7" t="n"/>
    </x:row>
    <x:row r="21">
      <x:c r="A21" s="7" t="n"/>
      <x:c r="B21" s="9" t="n"/>
      <x:c r="C21" s="9" t="n"/>
      <x:c r="D21" s="7" t="n"/>
      <x:c r="E21" s="12" t="n"/>
      <x:c r="F21" s="9" t="n"/>
      <x:c r="G21" s="7" t="n"/>
      <x:c r="H21" s="7" t="n"/>
      <x:c r="I21" s="12" t="n"/>
      <x:c r="J21" s="7" t="n"/>
      <x:c r="K21" s="7" t="n"/>
      <x:c r="L21" s="7" t="n"/>
    </x:row>
    <x:row r="22">
      <x:c r="A22" s="7" t="n"/>
      <x:c r="B22" s="9" t="n"/>
      <x:c r="C22" s="9" t="n"/>
      <x:c r="D22" s="7" t="n"/>
      <x:c r="E22" s="12" t="n"/>
      <x:c r="F22" s="9" t="n"/>
      <x:c r="G22" s="7" t="n"/>
      <x:c r="H22" s="7" t="n"/>
      <x:c r="I22" s="12" t="n"/>
      <x:c r="J22" s="7" t="n"/>
      <x:c r="K22" s="7" t="n"/>
      <x:c r="L22" s="7" t="n"/>
    </x:row>
    <x:row r="23">
      <x:c r="A23" s="7" t="n"/>
      <x:c r="B23" s="9" t="n"/>
      <x:c r="C23" s="9" t="n"/>
      <x:c r="D23" s="7" t="n"/>
      <x:c r="E23" s="12" t="n"/>
      <x:c r="F23" s="9" t="n"/>
      <x:c r="G23" s="7" t="n"/>
      <x:c r="H23" s="7" t="n"/>
      <x:c r="I23" s="12" t="n"/>
      <x:c r="J23" s="7" t="n"/>
      <x:c r="K23" s="7" t="n"/>
      <x:c r="L23" s="7" t="n"/>
    </x:row>
    <x:row r="24">
      <x:c r="A24" s="7" t="n"/>
      <x:c r="B24" s="9" t="n"/>
      <x:c r="C24" s="9" t="n"/>
      <x:c r="D24" s="7" t="n"/>
      <x:c r="E24" s="12" t="n"/>
      <x:c r="F24" s="9" t="n"/>
      <x:c r="G24" s="7" t="n"/>
      <x:c r="H24" s="7" t="n"/>
      <x:c r="I24" s="12" t="n"/>
      <x:c r="J24" s="7" t="n"/>
      <x:c r="K24" s="7" t="n"/>
      <x:c r="L24" s="7" t="n"/>
    </x:row>
    <x:row r="25">
      <x:c r="A25" s="7" t="n"/>
      <x:c r="B25" s="9" t="n"/>
      <x:c r="C25" s="9" t="n"/>
      <x:c r="D25" s="7" t="n"/>
      <x:c r="E25" s="12" t="n"/>
      <x:c r="F25" s="9" t="n"/>
      <x:c r="G25" s="7" t="n"/>
      <x:c r="H25" s="7" t="n"/>
      <x:c r="I25" s="12" t="n"/>
      <x:c r="J25" s="7" t="n"/>
      <x:c r="K25" s="7" t="n"/>
      <x:c r="L25" s="7" t="n"/>
    </x:row>
    <x:row r="26">
      <x:c r="A26" s="7" t="n"/>
      <x:c r="B26" s="9" t="n"/>
      <x:c r="C26" s="9" t="n"/>
      <x:c r="D26" s="7" t="n"/>
      <x:c r="E26" s="12" t="n"/>
      <x:c r="F26" s="9" t="n"/>
      <x:c r="G26" s="7" t="n"/>
      <x:c r="H26" s="7" t="n"/>
      <x:c r="I26" s="12" t="n"/>
      <x:c r="J26" s="7" t="n"/>
      <x:c r="K26" s="7" t="n"/>
      <x:c r="L26" s="7" t="n"/>
    </x:row>
    <x:row r="27">
      <x:c r="A27" s="7" t="n"/>
      <x:c r="B27" s="9" t="n"/>
      <x:c r="C27" s="9" t="n"/>
      <x:c r="D27" s="7" t="n"/>
      <x:c r="E27" s="12" t="n"/>
      <x:c r="F27" s="9" t="n"/>
      <x:c r="G27" s="7" t="n"/>
      <x:c r="H27" s="7" t="n"/>
      <x:c r="I27" s="12" t="n"/>
      <x:c r="J27" s="7" t="n"/>
      <x:c r="K27" s="7" t="n"/>
      <x:c r="L27" s="7" t="n"/>
    </x:row>
    <x:row r="28">
      <x:c r="A28" s="7" t="n"/>
      <x:c r="B28" s="9" t="n"/>
      <x:c r="C28" s="9" t="n"/>
      <x:c r="D28" s="7" t="n"/>
      <x:c r="E28" s="12" t="n"/>
      <x:c r="F28" s="9" t="n"/>
      <x:c r="G28" s="7" t="n"/>
      <x:c r="H28" s="7" t="n"/>
      <x:c r="I28" s="12" t="n"/>
      <x:c r="J28" s="7" t="n"/>
      <x:c r="K28" s="7" t="n"/>
      <x:c r="L28" s="7" t="n"/>
    </x:row>
    <x:row r="29">
      <x:c r="A29" s="7" t="n"/>
      <x:c r="B29" s="9" t="n"/>
      <x:c r="C29" s="9" t="n"/>
      <x:c r="D29" s="7" t="n"/>
      <x:c r="E29" s="12" t="n"/>
      <x:c r="F29" s="9" t="n"/>
      <x:c r="G29" s="7" t="n"/>
      <x:c r="H29" s="7" t="n"/>
      <x:c r="I29" s="12" t="n"/>
      <x:c r="J29" s="7" t="n"/>
      <x:c r="K29" s="7" t="n"/>
      <x:c r="L29" s="7" t="n"/>
    </x:row>
    <x:row r="30">
      <x:c r="A30" s="7" t="n"/>
      <x:c r="B30" s="9" t="n"/>
      <x:c r="C30" s="9" t="n"/>
      <x:c r="D30" s="7" t="n"/>
      <x:c r="E30" s="12" t="n"/>
      <x:c r="F30" s="9" t="n"/>
      <x:c r="G30" s="7" t="n"/>
      <x:c r="H30" s="7" t="n"/>
      <x:c r="I30" s="12" t="n"/>
      <x:c r="J30" s="7" t="n"/>
      <x:c r="K30" s="7" t="n"/>
      <x:c r="L30" s="7" t="n"/>
    </x:row>
    <x:row r="31">
      <x:c r="A31" s="7" t="n"/>
      <x:c r="B31" s="9" t="n"/>
      <x:c r="C31" s="9" t="n"/>
      <x:c r="D31" s="7" t="n"/>
      <x:c r="E31" s="12" t="n"/>
      <x:c r="F31" s="9" t="n"/>
      <x:c r="G31" s="7" t="n"/>
      <x:c r="H31" s="7" t="n"/>
      <x:c r="I31" s="12" t="n"/>
      <x:c r="J31" s="7" t="n"/>
      <x:c r="K31" s="7" t="n"/>
      <x:c r="L31" s="7" t="n"/>
    </x:row>
    <x:row r="32">
      <x:c r="A32" s="7" t="n"/>
      <x:c r="B32" s="9" t="n"/>
      <x:c r="C32" s="9" t="n"/>
      <x:c r="D32" s="7" t="n"/>
      <x:c r="E32" s="12" t="n"/>
      <x:c r="F32" s="9" t="n"/>
      <x:c r="G32" s="7" t="n"/>
      <x:c r="H32" s="7" t="n"/>
      <x:c r="I32" s="12" t="n"/>
      <x:c r="J32" s="7" t="n"/>
      <x:c r="K32" s="7" t="n"/>
      <x:c r="L32" s="7" t="n"/>
    </x:row>
    <x:row r="33">
      <x:c r="A33" s="7" t="n"/>
      <x:c r="B33" s="9" t="n"/>
      <x:c r="C33" s="9" t="n"/>
      <x:c r="D33" s="7" t="n"/>
      <x:c r="E33" s="12" t="n"/>
      <x:c r="F33" s="9" t="n"/>
      <x:c r="G33" s="7" t="n"/>
      <x:c r="H33" s="7" t="n"/>
      <x:c r="I33" s="12" t="n"/>
      <x:c r="J33" s="7" t="n"/>
      <x:c r="K33" s="7" t="n"/>
      <x:c r="L33" s="7" t="n"/>
    </x:row>
    <x:row r="34">
      <x:c r="A34" s="7" t="n"/>
      <x:c r="B34" s="9" t="n"/>
      <x:c r="C34" s="9" t="n"/>
      <x:c r="D34" s="7" t="n"/>
      <x:c r="E34" s="12" t="n"/>
      <x:c r="F34" s="9" t="n"/>
      <x:c r="G34" s="7" t="n"/>
      <x:c r="H34" s="7" t="n"/>
      <x:c r="I34" s="12" t="n"/>
      <x:c r="J34" s="7" t="n"/>
      <x:c r="K34" s="7" t="n"/>
      <x:c r="L34" s="7" t="n"/>
    </x:row>
    <x:row r="37">
      <x:c r="A37" s="13" t="inlineStr">
        <x:is>
          <x:t xml:space="preserve">Prazos críticos (RANP 44 – 10.3, 10.4, 10.7, 10.8) – cálculo automático</x:t>
        </x:is>
      </x:c>
    </x:row>
    <x:row r="38">
      <x:c r="A38" s="5" t="inlineStr">
        <x:is>
          <x:t xml:space="preserve">Item</x:t>
        </x:is>
      </x:c>
      <x:c r="B38" s="5" t="inlineStr">
        <x:is>
          <x:t xml:space="preserve">Data / cálculo</x:t>
        </x:is>
      </x:c>
      <x:c r="C38" s="5" t="inlineStr">
        <x:is>
          <x:t xml:space="preserve">Referência</x:t>
        </x:is>
      </x:c>
    </x:row>
    <x:row r="39">
      <x:c r="A39" s="6" t="inlineStr">
        <x:is>
          <x:t xml:space="preserve">Data início do evento (ocorrência)</x:t>
        </x:is>
      </x:c>
      <x:c r="B39" s="24" t="e">
        <x:f>'01_Identificacao'!B13</x:f>
      </x:c>
      <x:c r="C39" s="10" t="inlineStr">
        <x:is>
          <x:t xml:space="preserve">10.4.1(g)</x:t>
        </x:is>
      </x:c>
    </x:row>
    <x:row r="40">
      <x:c r="A40" s="6" t="inlineStr">
        <x:is>
          <x:t xml:space="preserve">Prazo Relatório Parcial (D+10)</x:t>
        </x:is>
      </x:c>
      <x:c r="B40" s="24">
        <x:f>IF('01_Identificacao'!B13="","",'01_Identificacao'!B13+10)</x:f>
      </x:c>
      <x:c r="C40" s="10" t="inlineStr">
        <x:is>
          <x:t xml:space="preserve">10.4</x:t>
        </x:is>
      </x:c>
    </x:row>
    <x:row r="41">
      <x:c r="A41" s="6" t="inlineStr">
        <x:is>
          <x:t xml:space="preserve">Prazo Relatório Final (D+30)</x:t>
        </x:is>
      </x:c>
      <x:c r="B41" s="24">
        <x:f>IF('01_Identificacao'!B13="","",'01_Identificacao'!B13+30)</x:f>
      </x:c>
      <x:c r="C41" s="10" t="inlineStr">
        <x:is>
          <x:t xml:space="preserve">10.3/10.4</x:t>
        </x:is>
      </x:c>
    </x:row>
    <x:row r="42">
      <x:c r="A42" s="6" t="inlineStr">
        <x:is>
          <x:t xml:space="preserve">Data emissão Relatório Final (preencher)</x:t>
        </x:is>
      </x:c>
      <x:c r="B42" s="12" t="inlineStr">
        <x:is>
          <x:t xml:space="preserve"/>
        </x:is>
      </x:c>
      <x:c r="C42" s="10" t="inlineStr">
        <x:is>
          <x:t xml:space="preserve">10.4.2(i)</x:t>
        </x:is>
      </x:c>
    </x:row>
    <x:row r="43">
      <x:c r="A43" s="6" t="inlineStr">
        <x:is>
          <x:t xml:space="preserve">Prazo substituição/reparo (Topside: 60d; Subsea: 120d) a partir do Rel. Final</x:t>
        </x:is>
      </x:c>
      <x:c r="B43" s="25">
        <x:f>IF(B42="","",B42+IF('01_Identificacao'!H3="Subsea",120,60))</x:f>
      </x:c>
      <x:c r="C43" s="10" t="inlineStr">
        <x:is>
          <x:t xml:space="preserve">10.7.1/10.7.2</x:t>
        </x:is>
      </x:c>
    </x:row>
    <x:row r="44">
      <x:c r="A44" s="6" t="inlineStr">
        <x:is>
          <x:t xml:space="preserve">Data de recebimento do relatório do fabricante (se aplicável)</x:t>
        </x:is>
      </x:c>
      <x:c r="B44" s="12" t="inlineStr">
        <x:is>
          <x:t xml:space="preserve"/>
        </x:is>
      </x:c>
      <x:c r="C44" s="10" t="inlineStr">
        <x:is>
          <x:t xml:space="preserve">10.3.2</x:t>
        </x:is>
      </x:c>
    </x:row>
    <x:row r="45">
      <x:c r="A45" s="6" t="inlineStr">
        <x:is>
          <x:t xml:space="preserve">Prazo Relatório Final pós-fabricante (30d após recebimento)</x:t>
        </x:is>
      </x:c>
      <x:c r="B45" s="25">
        <x:f>IF(B44="","",B44+30)</x:f>
      </x:c>
      <x:c r="C45" s="10" t="inlineStr">
        <x:is>
          <x:t xml:space="preserve">10.3.2</x:t>
        </x:is>
      </x:c>
    </x:row>
    <x:row r="46">
      <x:c r="A46" s="6" t="inlineStr">
        <x:is>
          <x:t xml:space="preserve">Prazo para solicitar prorrogação (até 60d, caso 10.7.1)</x:t>
        </x:is>
      </x:c>
      <x:c r="B46" s="25">
        <x:f>IF(B42="","",B42+60)</x:f>
      </x:c>
      <x:c r="C46" s="10" t="inlineStr">
        <x:is>
          <x:t xml:space="preserve">10.7.3</x:t>
        </x:is>
      </x:c>
    </x:row>
    <x:row r="47">
      <x:c r="A47" s="6" t="inlineStr">
        <x:is>
          <x:t xml:space="preserve">Prazo máximo para apresentar solicitação (até 90d, caso 10.7.1)</x:t>
        </x:is>
      </x:c>
      <x:c r="B47" s="25">
        <x:f>IF(B42="","",B42+90)</x:f>
      </x:c>
      <x:c r="C47" s="10" t="inlineStr">
        <x:is>
          <x:t xml:space="preserve">10.7.3</x:t>
        </x:is>
      </x:c>
    </x:row>
    <x:row r="50" ht="30" customHeight="1">
      <x:c r="A50" s="26" t="inlineStr">
        <x:is>
          <x:t xml:space="preserve">Regra 10.8 (fechamento): se indisponibilidade exceder prazos 10.7, interromper ponto e fechar poço até reparo/substituição.</x:t>
        </x:is>
      </x:c>
    </x:row>
    <x:row r="52">
      <x:c r="A52" s="13" t="inlineStr">
        <x:is>
          <x:t xml:space="preserve">Cronograma das ações futuras (RANP 44 – 10.4.2(r)) – use também a tabela de CAPA acima</x:t>
        </x:is>
      </x:c>
    </x:row>
    <x:row r="53" ht="22" customHeight="1">
      <x:c r="A53" s="18" t="n"/>
      <x:c r="B53" s="19" t="n"/>
      <x:c r="C53" s="19" t="n"/>
      <x:c r="D53" s="19" t="n"/>
      <x:c r="E53" s="19" t="n"/>
      <x:c r="F53" s="19" t="n"/>
      <x:c r="G53" s="19" t="n"/>
      <x:c r="H53" s="19" t="n"/>
      <x:c r="I53" s="19" t="n"/>
      <x:c r="J53" s="19" t="n"/>
      <x:c r="K53" s="19" t="n"/>
      <x:c r="L53" s="20" t="n"/>
    </x:row>
    <x:row r="54" ht="22" customHeight="1">
      <x:c r="A54" s="34" t="n"/>
      <x:c r="L54" s="35" t="n"/>
    </x:row>
    <x:row r="55" ht="22" customHeight="1">
      <x:c r="A55" s="34" t="n"/>
      <x:c r="L55" s="35" t="n"/>
    </x:row>
    <x:row r="56" ht="22" customHeight="1">
      <x:c r="A56" s="21" t="n"/>
      <x:c r="B56" s="22" t="n"/>
      <x:c r="C56" s="22" t="n"/>
      <x:c r="D56" s="22" t="n"/>
      <x:c r="E56" s="22" t="n"/>
      <x:c r="F56" s="22" t="n"/>
      <x:c r="G56" s="22" t="n"/>
      <x:c r="H56" s="22" t="n"/>
      <x:c r="I56" s="22" t="n"/>
      <x:c r="J56" s="22" t="n"/>
      <x:c r="K56" s="22" t="n"/>
      <x:c r="L56" s="23" t="n"/>
    </x:row>
  </x:sheetData>
  <x:mergeCells>
    <x:mergeCell ref="A8:L11"/>
    <x:mergeCell ref="A2:L2"/>
    <x:mergeCell ref="A53:L56"/>
    <x:mergeCell ref="A52:L52"/>
    <x:mergeCell ref="A7:L7"/>
    <x:mergeCell ref="A1:L1"/>
    <x:mergeCell ref="A37:L37"/>
    <x:mergeCell ref="A13:L13"/>
    <x:mergeCell ref="A3:L3"/>
    <x:mergeCell ref="A50:L5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customWidth="1"/>
    <x:col min="2" max="2" width="52" customWidth="1"/>
    <x:col min="3" max="3" width="16" customWidth="1"/>
    <x:col min="4" max="4" width="14" customWidth="1"/>
    <x:col min="5" max="5" width="16" customWidth="1"/>
    <x:col min="6" max="6" width="24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</x:cols>
  <x:sheetData>
    <x:row r="1" ht="26" customHeight="1">
      <x:c r="A1" s="1" t="inlineStr">
        <x:is>
          <x:t xml:space="preserve">05 – Resumo, Conformidade e Prontidão para Envio à ANP (Item 10 – RANP 44/2015)</x:t>
        </x:is>
      </x:c>
    </x:row>
    <x:row r="2" ht="18" customHeight="1">
      <x:c r="A2" s="2" t="inlineStr">
        <x:is>
          <x:t xml:space="preserve">Esta aba consolida dados e valida automaticamente os campos mínimos do Relatório Parcial (10.4.1) ou Final (10.4.2).</x:t>
        </x:is>
      </x:c>
    </x:row>
    <x:row r="3">
      <x:c r="A3" s="13" t="inlineStr">
        <x:is>
          <x:t xml:space="preserve">Dados principais</x:t>
        </x:is>
      </x:c>
    </x:row>
    <x:row r="4">
      <x:c r="A4" s="5" t="inlineStr">
        <x:is>
          <x:t xml:space="preserve">Campo</x:t>
        </x:is>
      </x:c>
      <x:c r="B4" s="5" t="inlineStr">
        <x:is>
          <x:t xml:space="preserve">Valor</x:t>
        </x:is>
      </x:c>
      <x:c r="C4" s="5" t="inlineStr">
        <x:is>
          <x:t xml:space="preserve">Fonte</x:t>
        </x:is>
      </x:c>
      <x:c r="H4" s="27" t="inlineStr">
        <x:is>
          <x:t xml:space="preserve">Prontidão para envio à ANP</x:t>
        </x:is>
      </x:c>
    </x:row>
    <x:row r="5">
      <x:c r="A5" s="6" t="inlineStr">
        <x:is>
          <x:t xml:space="preserve">ID do Evento</x:t>
        </x:is>
      </x:c>
      <x:c r="B5" s="28" t="e">
        <x:f>'01_Identificacao'!B6</x:f>
      </x:c>
      <x:c r="C5" s="6" t="inlineStr">
        <x:is>
          <x:t xml:space="preserve">Aba 01</x:t>
        </x:is>
      </x:c>
      <x:c r="H5" s="29" t="inlineStr">
        <x:is>
          <x:t xml:space="preserve">Tipo de Relatório</x:t>
        </x:is>
      </x:c>
      <x:c r="I5" s="30" t="e">
        <x:f>'01_Identificacao'!E3</x:f>
      </x:c>
      <x:c r="J5" s="36" t="n"/>
      <x:c r="K5" s="37" t="n"/>
    </x:row>
    <x:row r="6">
      <x:c r="A6" s="6" t="inlineStr">
        <x:is>
          <x:t xml:space="preserve">Status do Evento</x:t>
        </x:is>
      </x:c>
      <x:c r="B6" s="28" t="e">
        <x:f>'01_Identificacao'!B3</x:f>
      </x:c>
      <x:c r="C6" s="6" t="inlineStr">
        <x:is>
          <x:t xml:space="preserve">Aba 01</x:t>
        </x:is>
      </x:c>
      <x:c r="H6" s="29" t="inlineStr">
        <x:is>
          <x:t xml:space="preserve">Pendências obrigatórias</x:t>
        </x:is>
      </x:c>
      <x:c r="I6" s="31">
        <x:f>COUNTIF(E28:E54,"PENDENTE")</x:f>
        <x:v>3</x:v>
      </x:c>
      <x:c r="J6" s="36" t="n"/>
      <x:c r="K6" s="37" t="n"/>
    </x:row>
    <x:row r="7">
      <x:c r="A7" s="6" t="inlineStr">
        <x:is>
          <x:t xml:space="preserve">Tipo de Relatório</x:t>
        </x:is>
      </x:c>
      <x:c r="B7" s="28" t="e">
        <x:f>'01_Identificacao'!E3</x:f>
      </x:c>
      <x:c r="C7" s="6" t="inlineStr">
        <x:is>
          <x:t xml:space="preserve">Aba 01</x:t>
        </x:is>
      </x:c>
      <x:c r="H7" s="29" t="inlineStr">
        <x:is>
          <x:t xml:space="preserve">Pronto para envio?</x:t>
        </x:is>
      </x:c>
      <x:c r="I7" s="30" t="str">
        <x:f>IF(COUNTIF(E28:E54,"PENDENTE")=0,"SIM","NÃO")</x:f>
        <x:v>NÃO</x:v>
      </x:c>
      <x:c r="J7" s="36" t="n"/>
      <x:c r="K7" s="37" t="n"/>
    </x:row>
    <x:row r="8">
      <x:c r="A8" s="6" t="inlineStr">
        <x:is>
          <x:t xml:space="preserve">Ambiente</x:t>
        </x:is>
      </x:c>
      <x:c r="B8" s="28" t="e">
        <x:f>'01_Identificacao'!H3</x:f>
      </x:c>
      <x:c r="C8" s="6" t="inlineStr">
        <x:is>
          <x:t xml:space="preserve">Aba 01</x:t>
        </x:is>
      </x:c>
      <x:c r="H8" s="29" t="inlineStr">
        <x:is>
          <x:t xml:space="preserve">Ação recomendada</x:t>
        </x:is>
      </x:c>
      <x:c r="I8" s="30" t="str">
        <x:f>IF('01_Identificacao'!E3="Parcial (10 dias)","Gerar PDF e protocolar (Parcial)",IF(OR('01_Identificacao'!E3="Final (30 dias)",'01_Identificacao'!E3="Encerramento Pós-Reparo"),"Gerar PDF e protocolar (Final)","Selecionar tipo de relatório"))</x:f>
        <x:v>Selecionar tipo de relatório</x:v>
      </x:c>
      <x:c r="J8" s="36" t="n"/>
      <x:c r="K8" s="37" t="n"/>
    </x:row>
    <x:row r="9">
      <x:c r="A9" s="6" t="inlineStr">
        <x:is>
          <x:t xml:space="preserve">Equipamento em falha (TAG)</x:t>
        </x:is>
      </x:c>
      <x:c r="B9" s="28" t="e">
        <x:f>'01_Identificacao'!B11</x:f>
      </x:c>
      <x:c r="C9" s="6" t="inlineStr">
        <x:is>
          <x:t xml:space="preserve">Aba 01</x:t>
        </x:is>
      </x:c>
    </x:row>
    <x:row r="10">
      <x:c r="A10" s="6" t="inlineStr">
        <x:is>
          <x:t xml:space="preserve">Data ocorrência</x:t>
        </x:is>
      </x:c>
      <x:c r="B10" s="28" t="e">
        <x:f>'01_Identificacao'!B13</x:f>
      </x:c>
      <x:c r="C10" s="6" t="inlineStr">
        <x:is>
          <x:t xml:space="preserve">Aba 01</x:t>
        </x:is>
      </x:c>
    </x:row>
    <x:row r="11">
      <x:c r="A11" s="6" t="inlineStr">
        <x:is>
          <x:t xml:space="preserve">Data detecção</x:t>
        </x:is>
      </x:c>
      <x:c r="B11" s="28" t="e">
        <x:f>'01_Identificacao'!B14</x:f>
      </x:c>
      <x:c r="C11" s="6" t="inlineStr">
        <x:is>
          <x:t xml:space="preserve">Aba 01</x:t>
        </x:is>
      </x:c>
    </x:row>
    <x:row r="12">
      <x:c r="A12" s="6" t="inlineStr">
        <x:is>
          <x:t xml:space="preserve">Data do relatório</x:t>
        </x:is>
      </x:c>
      <x:c r="B12" s="28" t="e">
        <x:f>'01_Identificacao'!B15</x:f>
      </x:c>
      <x:c r="C12" s="6" t="inlineStr">
        <x:is>
          <x:t xml:space="preserve">Aba 01</x:t>
        </x:is>
      </x:c>
    </x:row>
    <x:row r="13">
      <x:c r="A13" s="6" t="inlineStr">
        <x:is>
          <x:t xml:space="preserve">Responsável técnico</x:t>
        </x:is>
      </x:c>
      <x:c r="B13" s="28" t="e">
        <x:f>'01_Identificacao'!B16</x:f>
      </x:c>
      <x:c r="C13" s="6" t="inlineStr">
        <x:is>
          <x:t xml:space="preserve">Aba 01</x:t>
        </x:is>
      </x:c>
    </x:row>
    <x:row r="14">
      <x:c r="A14" s="6" t="inlineStr">
        <x:is>
          <x:t xml:space="preserve">Contingência (status)</x:t>
        </x:is>
      </x:c>
      <x:c r="B14" s="28" t="e">
        <x:f>'04_Contingencia_Acoes'!A5</x:f>
      </x:c>
      <x:c r="C14" s="6" t="inlineStr">
        <x:is>
          <x:t xml:space="preserve">Aba 04</x:t>
        </x:is>
      </x:c>
    </x:row>
    <x:row r="17">
      <x:c r="A17" s="13" t="inlineStr">
        <x:is>
          <x:t xml:space="preserve">Prazos e alertas</x:t>
        </x:is>
      </x:c>
    </x:row>
    <x:row r="18">
      <x:c r="A18" s="5" t="inlineStr">
        <x:is>
          <x:t xml:space="preserve">Marco</x:t>
        </x:is>
      </x:c>
      <x:c r="B18" s="5" t="inlineStr">
        <x:is>
          <x:t xml:space="preserve">Data</x:t>
        </x:is>
      </x:c>
      <x:c r="C18" s="5" t="inlineStr">
        <x:is>
          <x:t xml:space="preserve">Referência</x:t>
        </x:is>
      </x:c>
    </x:row>
    <x:row r="19">
      <x:c r="A19" s="6" t="inlineStr">
        <x:is>
          <x:t xml:space="preserve">Prazo próximo Relatório Parcial (D+10)</x:t>
        </x:is>
      </x:c>
      <x:c r="B19" s="32" t="e">
        <x:f>'04_Contingencia_Acoes'!B44</x:f>
      </x:c>
      <x:c r="C19" s="6" t="inlineStr">
        <x:is>
          <x:t xml:space="preserve">10.4</x:t>
        </x:is>
      </x:c>
    </x:row>
    <x:row r="20">
      <x:c r="A20" s="6" t="inlineStr">
        <x:is>
          <x:t xml:space="preserve">Prazo Relatório Final (D+30)</x:t>
        </x:is>
      </x:c>
      <x:c r="B20" s="32">
        <x:f>'04_Contingencia_Acoes'!B45</x:f>
      </x:c>
      <x:c r="C20" s="6" t="inlineStr">
        <x:is>
          <x:t xml:space="preserve">10.3</x:t>
        </x:is>
      </x:c>
    </x:row>
    <x:row r="21">
      <x:c r="A21" s="6" t="inlineStr">
        <x:is>
          <x:t xml:space="preserve">Data emissão Relatório Final (preencher na Aba 04)</x:t>
        </x:is>
      </x:c>
      <x:c r="B21" s="32">
        <x:f>'04_Contingencia_Acoes'!B47</x:f>
      </x:c>
      <x:c r="C21" s="6" t="inlineStr">
        <x:is>
          <x:t xml:space="preserve">10.4.2(i)</x:t>
        </x:is>
      </x:c>
    </x:row>
    <x:row r="22">
      <x:c r="A22" s="6" t="inlineStr">
        <x:is>
          <x:t xml:space="preserve">Prazo substituição/reparo (60/120 dias)</x:t>
        </x:is>
      </x:c>
      <x:c r="B22" s="32" t="str">
        <x:f>'04_Contingencia_Acoes'!B48</x:f>
        <x:v>null</x:v>
      </x:c>
      <x:c r="C22" s="6" t="inlineStr">
        <x:is>
          <x:t xml:space="preserve">10.7</x:t>
        </x:is>
      </x:c>
    </x:row>
    <x:row r="23">
      <x:c r="A23" s="6" t="inlineStr">
        <x:is>
          <x:t xml:space="preserve">Prazo Relatório Final pós-fabricante (se aplicável)</x:t>
        </x:is>
      </x:c>
      <x:c r="B23" s="32" t="str">
        <x:f>'04_Contingencia_Acoes'!B50</x:f>
        <x:v>null</x:v>
      </x:c>
      <x:c r="C23" s="6" t="inlineStr">
        <x:is>
          <x:t xml:space="preserve">10.3.2</x:t>
        </x:is>
      </x:c>
    </x:row>
    <x:row r="26">
      <x:c r="A26" s="13" t="inlineStr">
        <x:is>
          <x:t xml:space="preserve">Checklist de conformidade (campos mínimos por tipo de relatório)</x:t>
        </x:is>
      </x:c>
    </x:row>
    <x:row r="27">
      <x:c r="A27" s="5" t="inlineStr">
        <x:is>
          <x:t xml:space="preserve">Item</x:t>
        </x:is>
      </x:c>
      <x:c r="B27" s="5" t="inlineStr">
        <x:is>
          <x:t xml:space="preserve">Descrição (RANP 44)</x:t>
        </x:is>
      </x:c>
      <x:c r="C27" s="5" t="inlineStr">
        <x:is>
          <x:t xml:space="preserve">Obrigatório para</x:t>
        </x:is>
      </x:c>
      <x:c r="D27" s="5" t="inlineStr">
        <x:is>
          <x:t xml:space="preserve">Referência</x:t>
        </x:is>
      </x:c>
      <x:c r="E27" s="5" t="inlineStr">
        <x:is>
          <x:t xml:space="preserve">Campo atendido?</x:t>
        </x:is>
      </x:c>
      <x:c r="F27" s="5" t="inlineStr">
        <x:is>
          <x:t xml:space="preserve">Onde preencher</x:t>
        </x:is>
      </x:c>
    </x:row>
    <x:row r="28">
      <x:c r="A28" s="6" t="inlineStr">
        <x:is>
          <x:t xml:space="preserve">10.4.(a)</x:t>
        </x:is>
      </x:c>
      <x:c r="B28" s="6" t="inlineStr">
        <x:is>
          <x:t xml:space="preserve">Nome do agente regulado</x:t>
        </x:is>
      </x:c>
      <x:c r="C28" s="6" t="inlineStr">
        <x:is>
          <x:t xml:space="preserve">Ambos</x:t>
        </x:is>
      </x:c>
      <x:c r="D28" s="6" t="inlineStr">
        <x:is>
          <x:t xml:space="preserve">10.4.1(a)/10.4.2(a)</x:t>
        </x:is>
      </x:c>
      <x:c r="E28" s="33" t="str">
        <x:f>IF(TRUE,IF(LEN('01_Identificacao'!B7)&gt;0,"OK","PENDENTE"),"N/A")</x:f>
        <x:v>OK</x:v>
      </x:c>
      <x:c r="F28" s="6" t="inlineStr">
        <x:is>
          <x:t xml:space="preserve">Aba 01 (B7)</x:t>
        </x:is>
      </x:c>
    </x:row>
    <x:row r="29">
      <x:c r="A29" s="6" t="inlineStr">
        <x:is>
          <x:t xml:space="preserve">10.4.(b)</x:t>
        </x:is>
      </x:c>
      <x:c r="B29" s="6" t="inlineStr">
        <x:is>
          <x:t xml:space="preserve">Identificação da bacia</x:t>
        </x:is>
      </x:c>
      <x:c r="C29" s="6" t="inlineStr">
        <x:is>
          <x:t xml:space="preserve">Ambos</x:t>
        </x:is>
      </x:c>
      <x:c r="D29" s="6" t="inlineStr">
        <x:is>
          <x:t xml:space="preserve">10.4.1(b)/10.4.2(b)</x:t>
        </x:is>
      </x:c>
      <x:c r="E29" s="33" t="str">
        <x:f>IF(TRUE,IF(LEN('01_Identificacao'!B8)&gt;0,"OK","PENDENTE"),"N/A")</x:f>
        <x:v>OK</x:v>
      </x:c>
      <x:c r="F29" s="6" t="inlineStr">
        <x:is>
          <x:t xml:space="preserve">Aba 01 (B8)</x:t>
        </x:is>
      </x:c>
    </x:row>
    <x:row r="30">
      <x:c r="A30" s="6" t="inlineStr">
        <x:is>
          <x:t xml:space="preserve">10.4.(c)</x:t>
        </x:is>
      </x:c>
      <x:c r="B30" s="6" t="inlineStr">
        <x:is>
          <x:t xml:space="preserve">Identificação do campo</x:t>
        </x:is>
      </x:c>
      <x:c r="C30" s="6" t="inlineStr">
        <x:is>
          <x:t xml:space="preserve">Ambos</x:t>
        </x:is>
      </x:c>
      <x:c r="D30" s="6" t="inlineStr">
        <x:is>
          <x:t xml:space="preserve">10.4.1(c)/10.4.2(c)</x:t>
        </x:is>
      </x:c>
      <x:c r="E30" s="33" t="str">
        <x:f>IF(TRUE,IF(LEN('01_Identificacao'!B9)&gt;0,"OK","PENDENTE"),"N/A")</x:f>
        <x:v>OK</x:v>
      </x:c>
      <x:c r="F30" s="6" t="inlineStr">
        <x:is>
          <x:t xml:space="preserve">Aba 01 (B9)</x:t>
        </x:is>
      </x:c>
    </x:row>
    <x:row r="31">
      <x:c r="A31" s="6" t="inlineStr">
        <x:is>
          <x:t xml:space="preserve">10.4.(d)</x:t>
        </x:is>
      </x:c>
      <x:c r="B31" s="6" t="inlineStr">
        <x:is>
          <x:t xml:space="preserve">Identificação da instalação</x:t>
        </x:is>
      </x:c>
      <x:c r="C31" s="6" t="inlineStr">
        <x:is>
          <x:t xml:space="preserve">Ambos</x:t>
        </x:is>
      </x:c>
      <x:c r="D31" s="6" t="inlineStr">
        <x:is>
          <x:t xml:space="preserve">10.4.1(d)/10.4.2(d)</x:t>
        </x:is>
      </x:c>
      <x:c r="E31" s="33" t="str">
        <x:f>IF(TRUE,IF(LEN('01_Identificacao'!B10)&gt;0,"OK","PENDENTE"),"N/A")</x:f>
        <x:v>OK</x:v>
      </x:c>
      <x:c r="F31" s="6" t="inlineStr">
        <x:is>
          <x:t xml:space="preserve">Aba 01 (B10)</x:t>
        </x:is>
      </x:c>
    </x:row>
    <x:row r="32">
      <x:c r="A32" s="6" t="inlineStr">
        <x:is>
          <x:t xml:space="preserve">10.4.(e)</x:t>
        </x:is>
      </x:c>
      <x:c r="B32" s="6" t="inlineStr">
        <x:is>
          <x:t xml:space="preserve">Identificação do medidor/sistema/equipamento em falha</x:t>
        </x:is>
      </x:c>
      <x:c r="C32" s="6" t="inlineStr">
        <x:is>
          <x:t xml:space="preserve">Ambos</x:t>
        </x:is>
      </x:c>
      <x:c r="D32" s="6" t="inlineStr">
        <x:is>
          <x:t xml:space="preserve">10.4.1(e)/10.4.2(e)</x:t>
        </x:is>
      </x:c>
      <x:c r="E32" s="33" t="str">
        <x:f>IF(TRUE,IF(LEN('01_Identificacao'!B11)&gt;0,"OK","PENDENTE"),"N/A")</x:f>
        <x:v>OK</x:v>
      </x:c>
      <x:c r="F32" s="6" t="inlineStr">
        <x:is>
          <x:t xml:space="preserve">Aba 01 (B11)</x:t>
        </x:is>
      </x:c>
    </x:row>
    <x:row r="33">
      <x:c r="A33" s="6" t="inlineStr">
        <x:is>
          <x:t xml:space="preserve">10.4.(f)</x:t>
        </x:is>
      </x:c>
      <x:c r="B33" s="6" t="inlineStr">
        <x:is>
          <x:t xml:space="preserve">Condições de operação antes do evento (GVF, salinidade, BSW, vazões, P, T)</x:t>
        </x:is>
      </x:c>
      <x:c r="C33" s="6" t="inlineStr">
        <x:is>
          <x:t xml:space="preserve">Ambos</x:t>
        </x:is>
      </x:c>
      <x:c r="D33" s="6" t="inlineStr">
        <x:is>
          <x:t xml:space="preserve">10.4.1(f)/10.4.2(f)</x:t>
        </x:is>
      </x:c>
      <x:c r="E33" s="33" t="str">
        <x:f>IF(TRUE,IF(AND(LEN('01_Identificacao'!B23)&gt;0,LEN('01_Identificacao'!B25)&gt;0,LEN('01_Identificacao'!B26)&gt;0,LEN('01_Identificacao'!B29)&gt;0,LEN('01_Identificacao'!B30)&gt;0),"OK","PENDENTE"),"N/A")</x:f>
        <x:v>OK</x:v>
      </x:c>
      <x:c r="F33" s="6" t="inlineStr">
        <x:is>
          <x:t xml:space="preserve">Aba 01 (B23:B30)</x:t>
        </x:is>
      </x:c>
    </x:row>
    <x:row r="34">
      <x:c r="A34" s="6" t="inlineStr">
        <x:is>
          <x:t xml:space="preserve">10.4.(g)</x:t>
        </x:is>
      </x:c>
      <x:c r="B34" s="6" t="inlineStr">
        <x:is>
          <x:t xml:space="preserve">Data da ocorrência</x:t>
        </x:is>
      </x:c>
      <x:c r="C34" s="6" t="inlineStr">
        <x:is>
          <x:t xml:space="preserve">Ambos</x:t>
        </x:is>
      </x:c>
      <x:c r="D34" s="6" t="inlineStr">
        <x:is>
          <x:t xml:space="preserve">10.4.1(g)/10.4.2(g)</x:t>
        </x:is>
      </x:c>
      <x:c r="E34" s="33" t="str">
        <x:f>IF(TRUE,IF('01_Identificacao'!B13&lt;&gt;"","OK","PENDENTE"),"N/A")</x:f>
        <x:v>PENDENTE</x:v>
      </x:c>
      <x:c r="F34" s="6" t="inlineStr">
        <x:is>
          <x:t xml:space="preserve">Aba 01 (data ocorrência)</x:t>
        </x:is>
      </x:c>
    </x:row>
    <x:row r="35">
      <x:c r="A35" s="6" t="inlineStr">
        <x:is>
          <x:t xml:space="preserve">10.4.(h)</x:t>
        </x:is>
      </x:c>
      <x:c r="B35" s="6" t="inlineStr">
        <x:is>
          <x:t xml:space="preserve">Data de detecção da falha</x:t>
        </x:is>
      </x:c>
      <x:c r="C35" s="6" t="inlineStr">
        <x:is>
          <x:t xml:space="preserve">Ambos</x:t>
        </x:is>
      </x:c>
      <x:c r="D35" s="6" t="inlineStr">
        <x:is>
          <x:t xml:space="preserve">10.4.1(h)/10.4.2(h)</x:t>
        </x:is>
      </x:c>
      <x:c r="E35" s="33" t="str">
        <x:f>IF(TRUE,IF('01_Identificacao'!B14&lt;&gt;"","OK","PENDENTE"),"N/A")</x:f>
        <x:v>PENDENTE</x:v>
      </x:c>
      <x:c r="F35" s="6" t="inlineStr">
        <x:is>
          <x:t xml:space="preserve">Aba 01 (data detecção)</x:t>
        </x:is>
      </x:c>
    </x:row>
    <x:row r="36">
      <x:c r="A36" s="6" t="inlineStr">
        <x:is>
          <x:t xml:space="preserve">10.4.(i)</x:t>
        </x:is>
      </x:c>
      <x:c r="B36" s="6" t="inlineStr">
        <x:is>
          <x:t xml:space="preserve">Data do relatório</x:t>
        </x:is>
      </x:c>
      <x:c r="C36" s="6" t="inlineStr">
        <x:is>
          <x:t xml:space="preserve">Ambos</x:t>
        </x:is>
      </x:c>
      <x:c r="D36" s="6" t="inlineStr">
        <x:is>
          <x:t xml:space="preserve">10.4.1(i)/10.4.2(i)</x:t>
        </x:is>
      </x:c>
      <x:c r="E36" s="33" t="str">
        <x:f>IF(TRUE,IF('01_Identificacao'!B15&lt;&gt;"","OK","PENDENTE"),"N/A")</x:f>
        <x:v>PENDENTE</x:v>
      </x:c>
      <x:c r="F36" s="6" t="inlineStr">
        <x:is>
          <x:t xml:space="preserve">Aba 01 (data relatório)</x:t>
        </x:is>
      </x:c>
    </x:row>
    <x:row r="37">
      <x:c r="A37" s="6" t="inlineStr">
        <x:is>
          <x:t xml:space="preserve">10.4.1(j)</x:t>
        </x:is>
      </x:c>
      <x:c r="B37" s="6" t="inlineStr">
        <x:is>
          <x:t xml:space="preserve">Breve descrição do evento</x:t>
        </x:is>
      </x:c>
      <x:c r="C37" s="6" t="inlineStr">
        <x:is>
          <x:t xml:space="preserve">Parcial</x:t>
        </x:is>
      </x:c>
      <x:c r="D37" s="6" t="inlineStr">
        <x:is>
          <x:t xml:space="preserve">10.4.1(j)</x:t>
        </x:is>
      </x:c>
      <x:c r="E37" s="33" t="str">
        <x:f>IF(('01_Identificacao'!E3="Parcial (10 dias)"),IF(LEN('03_Diagnostico'!A4)&gt;0,"OK","PENDENTE"),"N/A")</x:f>
        <x:v>N/A</x:v>
      </x:c>
      <x:c r="F37" s="6" t="inlineStr">
        <x:is>
          <x:t xml:space="preserve">Aba 03 – Seção 1</x:t>
        </x:is>
      </x:c>
    </x:row>
    <x:row r="38">
      <x:c r="A38" s="6" t="inlineStr">
        <x:is>
          <x:t xml:space="preserve">10.4.1(k)</x:t>
        </x:is>
      </x:c>
      <x:c r="B38" s="6" t="inlineStr">
        <x:is>
          <x:t xml:space="preserve">Causa provável do evento</x:t>
        </x:is>
      </x:c>
      <x:c r="C38" s="6" t="inlineStr">
        <x:is>
          <x:t xml:space="preserve">Parcial</x:t>
        </x:is>
      </x:c>
      <x:c r="D38" s="6" t="inlineStr">
        <x:is>
          <x:t xml:space="preserve">10.4.1(k)</x:t>
        </x:is>
      </x:c>
      <x:c r="E38" s="33" t="str">
        <x:f>IF(('01_Identificacao'!E3="Parcial (10 dias)"),IF(COUNTIF('03_Diagnostico'!B14:B20,"SIM")&gt;0,"OK","PENDENTE"),"N/A")</x:f>
        <x:v>N/A</x:v>
      </x:c>
      <x:c r="F38" s="6" t="inlineStr">
        <x:is>
          <x:t xml:space="preserve">Aba 03 – Seção 2</x:t>
        </x:is>
      </x:c>
    </x:row>
    <x:row r="39">
      <x:c r="A39" s="6" t="inlineStr">
        <x:is>
          <x:t xml:space="preserve">10.4.1(l)</x:t>
        </x:is>
      </x:c>
      <x:c r="B39" s="6" t="inlineStr">
        <x:is>
          <x:t xml:space="preserve">Acionamento, ou não, do plano de contingência</x:t>
        </x:is>
      </x:c>
      <x:c r="C39" s="6" t="inlineStr">
        <x:is>
          <x:t xml:space="preserve">Parcial</x:t>
        </x:is>
      </x:c>
      <x:c r="D39" s="6" t="inlineStr">
        <x:is>
          <x:t xml:space="preserve">10.4.1(l)</x:t>
        </x:is>
      </x:c>
      <x:c r="E39" s="33" t="str">
        <x:f>IF(('01_Identificacao'!E3="Parcial (10 dias)"),IF(LEN('04_Contingencia_Acoes'!A5)&gt;0,"OK","PENDENTE"),"N/A")</x:f>
        <x:v>N/A</x:v>
      </x:c>
      <x:c r="F39" s="6" t="inlineStr">
        <x:is>
          <x:t xml:space="preserve">Aba 04 – Linha 5</x:t>
        </x:is>
      </x:c>
    </x:row>
    <x:row r="40">
      <x:c r="A40" s="6" t="inlineStr">
        <x:is>
          <x:t xml:space="preserve">10.4.1(m)</x:t>
        </x:is>
      </x:c>
      <x:c r="B40" s="6" t="inlineStr">
        <x:is>
          <x:t xml:space="preserve">Descrição das medidas adotadas até o momento (relatório parcial)</x:t>
        </x:is>
      </x:c>
      <x:c r="C40" s="6" t="inlineStr">
        <x:is>
          <x:t xml:space="preserve">Parcial</x:t>
        </x:is>
      </x:c>
      <x:c r="D40" s="6" t="inlineStr">
        <x:is>
          <x:t xml:space="preserve">10.4.1(m)</x:t>
        </x:is>
      </x:c>
      <x:c r="E40" s="33" t="str">
        <x:f>IF(('01_Identificacao'!E3="Parcial (10 dias)"),IF(LEN('03_Diagnostico'!A53)&gt;0,"OK","PENDENTE"),"N/A")</x:f>
        <x:v>N/A</x:v>
      </x:c>
      <x:c r="F40" s="6" t="inlineStr">
        <x:is>
          <x:t xml:space="preserve">Aba 03 – Seção 7</x:t>
        </x:is>
      </x:c>
    </x:row>
    <x:row r="41">
      <x:c r="A41" s="6" t="inlineStr">
        <x:is>
          <x:t xml:space="preserve">10.4.1(n)</x:t>
        </x:is>
      </x:c>
      <x:c r="B41" s="6" t="inlineStr">
        <x:is>
          <x:t xml:space="preserve">Observações e informações complementares</x:t>
        </x:is>
      </x:c>
      <x:c r="C41" s="6" t="inlineStr">
        <x:is>
          <x:t xml:space="preserve">Parcial</x:t>
        </x:is>
      </x:c>
      <x:c r="D41" s="6" t="inlineStr">
        <x:is>
          <x:t xml:space="preserve">10.4.1(n)</x:t>
        </x:is>
      </x:c>
      <x:c r="E41" s="33" t="str">
        <x:f>IF(('01_Identificacao'!E3="Parcial (10 dias)"),IF(LEN('03_Diagnostico'!A59)&gt;0,"OK","PENDENTE"),"N/A")</x:f>
        <x:v>N/A</x:v>
      </x:c>
      <x:c r="F41" s="6" t="inlineStr">
        <x:is>
          <x:t xml:space="preserve">Aba 03 – Seção 8</x:t>
        </x:is>
      </x:c>
    </x:row>
    <x:row r="42">
      <x:c r="A42" s="6" t="inlineStr">
        <x:is>
          <x:t xml:space="preserve">10.4.1(o)</x:t>
        </x:is>
      </x:c>
      <x:c r="B42" s="6" t="inlineStr">
        <x:is>
          <x:t xml:space="preserve">Identificação do(s) responsável(is) pelo relatório</x:t>
        </x:is>
      </x:c>
      <x:c r="C42" s="6" t="inlineStr">
        <x:is>
          <x:t xml:space="preserve">Parcial</x:t>
        </x:is>
      </x:c>
      <x:c r="D42" s="6" t="inlineStr">
        <x:is>
          <x:t xml:space="preserve">10.4.1(o)</x:t>
        </x:is>
      </x:c>
      <x:c r="E42" s="33" t="str">
        <x:f>IF(('01_Identificacao'!E3="Parcial (10 dias)"),IF(LEN('01_Identificacao'!B16)&gt;0,"OK","PENDENTE"),"N/A")</x:f>
        <x:v>N/A</x:v>
      </x:c>
      <x:c r="F42" s="6" t="inlineStr">
        <x:is>
          <x:t xml:space="preserve">Aba 01 – Responsável técnico</x:t>
        </x:is>
      </x:c>
    </x:row>
    <x:row r="43">
      <x:c r="A43" s="6" t="inlineStr">
        <x:is>
          <x:t xml:space="preserve">10.4.2(j)</x:t>
        </x:is>
      </x:c>
      <x:c r="B43" s="6" t="inlineStr">
        <x:is>
          <x:t xml:space="preserve">Metodologia utilizada para a investigação</x:t>
        </x:is>
      </x:c>
      <x:c r="C43" s="6" t="inlineStr">
        <x:is>
          <x:t xml:space="preserve">Final</x:t>
        </x:is>
      </x:c>
      <x:c r="D43" s="6" t="inlineStr">
        <x:is>
          <x:t xml:space="preserve">10.4.2(j)</x:t>
        </x:is>
      </x:c>
      <x:c r="E43" s="33" t="str">
        <x:f>IF(OR('01_Identificacao'!E3="Final (30 dias)",'01_Identificacao'!E3="Encerramento Pós-Reparo"),IF(COUNTIF('02_Diario_Bordo'!B5:B9,"SIM")&gt;0,"OK","PENDENTE"),"N/A")</x:f>
        <x:v>N/A</x:v>
      </x:c>
      <x:c r="F43" s="6" t="inlineStr">
        <x:is>
          <x:t xml:space="preserve">Aba 02 – Metodologia</x:t>
        </x:is>
      </x:c>
    </x:row>
    <x:row r="44">
      <x:c r="A44" s="6" t="inlineStr">
        <x:is>
          <x:t xml:space="preserve">10.4.2(k)</x:t>
        </x:is>
      </x:c>
      <x:c r="B44" s="6" t="inlineStr">
        <x:is>
          <x:t xml:space="preserve">Cronologia e descrição técnica do evento</x:t>
        </x:is>
      </x:c>
      <x:c r="C44" s="6" t="inlineStr">
        <x:is>
          <x:t xml:space="preserve">Final</x:t>
        </x:is>
      </x:c>
      <x:c r="D44" s="6" t="inlineStr">
        <x:is>
          <x:t xml:space="preserve">10.4.2(k)</x:t>
        </x:is>
      </x:c>
      <x:c r="E44" s="33" t="str">
        <x:f>IF(OR('01_Identificacao'!E3="Final (30 dias)",'01_Identificacao'!E3="Encerramento Pós-Reparo"),IF(LEN('03_Diagnostico'!A46)&gt;0,"OK","PENDENTE"),"N/A")</x:f>
        <x:v>N/A</x:v>
      </x:c>
      <x:c r="F44" s="6" t="inlineStr">
        <x:is>
          <x:t xml:space="preserve">Aba 03 – Seção 6 (e Aba 02)</x:t>
        </x:is>
      </x:c>
    </x:row>
    <x:row r="45">
      <x:c r="A45" s="6" t="inlineStr">
        <x:is>
          <x:t xml:space="preserve">10.4.2(l)</x:t>
        </x:is>
      </x:c>
      <x:c r="B45" s="6" t="inlineStr">
        <x:is>
          <x:t xml:space="preserve">Descrição de evento/fator externo contribuinte</x:t>
        </x:is>
      </x:c>
      <x:c r="C45" s="6" t="inlineStr">
        <x:is>
          <x:t xml:space="preserve">Final</x:t>
        </x:is>
      </x:c>
      <x:c r="D45" s="6" t="inlineStr">
        <x:is>
          <x:t xml:space="preserve">10.4.2(l)</x:t>
        </x:is>
      </x:c>
      <x:c r="E45" s="33" t="str">
        <x:f>IF(OR('01_Identificacao'!E3="Final (30 dias)",'01_Identificacao'!E3="Encerramento Pós-Reparo"),IF(LEN('03_Diagnostico'!A32)&gt;0,"OK","PENDENTE"),"N/A")</x:f>
        <x:v>N/A</x:v>
      </x:c>
      <x:c r="F45" s="6" t="inlineStr">
        <x:is>
          <x:t xml:space="preserve">Aba 03 – Seção 4</x:t>
        </x:is>
      </x:c>
    </x:row>
    <x:row r="46">
      <x:c r="A46" s="6" t="inlineStr">
        <x:is>
          <x:t xml:space="preserve">10.4.2(m)</x:t>
        </x:is>
      </x:c>
      <x:c r="B46" s="6" t="inlineStr">
        <x:is>
          <x:t xml:space="preserve">Fato(s) determinante(s) para ocorrência (causa raiz)</x:t>
        </x:is>
      </x:c>
      <x:c r="C46" s="6" t="inlineStr">
        <x:is>
          <x:t xml:space="preserve">Final</x:t>
        </x:is>
      </x:c>
      <x:c r="D46" s="6" t="inlineStr">
        <x:is>
          <x:t xml:space="preserve">10.4.2(m)</x:t>
        </x:is>
      </x:c>
      <x:c r="E46" s="33" t="str">
        <x:f>IF(OR('01_Identificacao'!E3="Final (30 dias)",'01_Identificacao'!E3="Encerramento Pós-Reparo"),IF(LEN('03_Diagnostico'!A24)&gt;0,"OK","PENDENTE"),"N/A")</x:f>
        <x:v>N/A</x:v>
      </x:c>
      <x:c r="F46" s="6" t="inlineStr">
        <x:is>
          <x:t xml:space="preserve">Aba 03 – Seção 3</x:t>
        </x:is>
      </x:c>
    </x:row>
    <x:row r="47">
      <x:c r="A47" s="6" t="inlineStr">
        <x:is>
          <x:t xml:space="preserve">10.4.2(n)</x:t>
        </x:is>
      </x:c>
      <x:c r="B47" s="6" t="inlineStr">
        <x:is>
          <x:t xml:space="preserve">Medidas mitigadoras e resultados esperados no contingenciamento</x:t>
        </x:is>
      </x:c>
      <x:c r="C47" s="6" t="inlineStr">
        <x:is>
          <x:t xml:space="preserve">Final</x:t>
        </x:is>
      </x:c>
      <x:c r="D47" s="6" t="inlineStr">
        <x:is>
          <x:t xml:space="preserve">10.4.2(n)</x:t>
        </x:is>
      </x:c>
      <x:c r="E47" s="33" t="str">
        <x:f>IF(OR('01_Identificacao'!E3="Final (30 dias)",'01_Identificacao'!E3="Encerramento Pós-Reparo"),IF(LEN('04_Contingencia_Acoes'!A8)&gt;0,"OK","PENDENTE"),"N/A")</x:f>
        <x:v>N/A</x:v>
      </x:c>
      <x:c r="F47" s="6" t="inlineStr">
        <x:is>
          <x:t xml:space="preserve">Aba 04 – Medidas mitigadoras</x:t>
        </x:is>
      </x:c>
    </x:row>
    <x:row r="48">
      <x:c r="A48" s="6" t="inlineStr">
        <x:is>
          <x:t xml:space="preserve">10.4.2(o)</x:t>
        </x:is>
      </x:c>
      <x:c r="B48" s="6" t="inlineStr">
        <x:is>
          <x:t xml:space="preserve">Recomendações para evitar recorrência</x:t>
        </x:is>
      </x:c>
      <x:c r="C48" s="6" t="inlineStr">
        <x:is>
          <x:t xml:space="preserve">Final</x:t>
        </x:is>
      </x:c>
      <x:c r="D48" s="6" t="inlineStr">
        <x:is>
          <x:t xml:space="preserve">10.4.2(o)</x:t>
        </x:is>
      </x:c>
      <x:c r="E48" s="33" t="str">
        <x:f>IF(OR('01_Identificacao'!E3="Final (30 dias)",'01_Identificacao'!E3="Encerramento Pós-Reparo"),IF(COUNTIF('04_Contingencia_Acoes'!A15:A34,"&lt;&gt;")&gt;0,"OK","PENDENTE"),"N/A")</x:f>
        <x:v>N/A</x:v>
      </x:c>
      <x:c r="F48" s="6" t="inlineStr">
        <x:is>
          <x:t xml:space="preserve">Aba 04 – Tabela CAPA</x:t>
        </x:is>
      </x:c>
    </x:row>
    <x:row r="49">
      <x:c r="A49" s="6" t="inlineStr">
        <x:is>
          <x:t xml:space="preserve">10.4.2(p)</x:t>
        </x:is>
      </x:c>
      <x:c r="B49" s="6" t="inlineStr">
        <x:is>
          <x:t xml:space="preserve">Cronograma de implementação das ações recomendadas</x:t>
        </x:is>
      </x:c>
      <x:c r="C49" s="6" t="inlineStr">
        <x:is>
          <x:t xml:space="preserve">Final</x:t>
        </x:is>
      </x:c>
      <x:c r="D49" s="6" t="inlineStr">
        <x:is>
          <x:t xml:space="preserve">10.4.2(p)</x:t>
        </x:is>
      </x:c>
      <x:c r="E49" s="33" t="str">
        <x:f>IF(OR('01_Identificacao'!E3="Final (30 dias)",'01_Identificacao'!E3="Encerramento Pós-Reparo"),IF(COUNT('04_Contingencia_Acoes'!E15:E34)&gt;0,"OK","PENDENTE"),"N/A")</x:f>
        <x:v>N/A</x:v>
      </x:c>
      <x:c r="F49" s="6" t="inlineStr">
        <x:is>
          <x:t xml:space="preserve">Aba 04 – Prazos CAPA</x:t>
        </x:is>
      </x:c>
    </x:row>
    <x:row r="50">
      <x:c r="A50" s="6" t="inlineStr">
        <x:is>
          <x:t xml:space="preserve">10.4.2(q)</x:t>
        </x:is>
      </x:c>
      <x:c r="B50" s="6" t="inlineStr">
        <x:is>
          <x:t xml:space="preserve">Descrição das medidas adotadas até a emissão do relatório final</x:t>
        </x:is>
      </x:c>
      <x:c r="C50" s="6" t="inlineStr">
        <x:is>
          <x:t xml:space="preserve">Final</x:t>
        </x:is>
      </x:c>
      <x:c r="D50" s="6" t="inlineStr">
        <x:is>
          <x:t xml:space="preserve">10.4.2(q)</x:t>
        </x:is>
      </x:c>
      <x:c r="E50" s="33" t="str">
        <x:f>IF(OR('01_Identificacao'!E3="Final (30 dias)",'01_Identificacao'!E3="Encerramento Pós-Reparo"),IF(LEN('03_Diagnostico'!A53)&gt;0,"OK","PENDENTE"),"N/A")</x:f>
        <x:v>N/A</x:v>
      </x:c>
      <x:c r="F50" s="6" t="inlineStr">
        <x:is>
          <x:t xml:space="preserve">Aba 03 – Seção 7</x:t>
        </x:is>
      </x:c>
    </x:row>
    <x:row r="51">
      <x:c r="A51" s="6" t="inlineStr">
        <x:is>
          <x:t xml:space="preserve">10.4.2(r)</x:t>
        </x:is>
      </x:c>
      <x:c r="B51" s="6" t="inlineStr">
        <x:is>
          <x:t xml:space="preserve">Cronograma das ações futuras</x:t>
        </x:is>
      </x:c>
      <x:c r="C51" s="6" t="inlineStr">
        <x:is>
          <x:t xml:space="preserve">Final</x:t>
        </x:is>
      </x:c>
      <x:c r="D51" s="6" t="inlineStr">
        <x:is>
          <x:t xml:space="preserve">10.4.2(r)</x:t>
        </x:is>
      </x:c>
      <x:c r="E51" s="33">
        <x:f>IF(OR('01_Identificacao'!E3="Final (30 dias)",'01_Identificacao'!E3="Encerramento Pós-Reparo"),IF(LEN('04_Contingencia_Acoes'!A53)&gt;0,"OK","PENDENTE"),"N/A")</x:f>
      </x:c>
      <x:c r="F51" s="6" t="inlineStr">
        <x:is>
          <x:t xml:space="preserve">Aba 04 – Seção cronograma futuro</x:t>
        </x:is>
      </x:c>
    </x:row>
    <x:row r="52">
      <x:c r="A52" s="6" t="inlineStr">
        <x:is>
          <x:t xml:space="preserve">10.4.2(s)</x:t>
        </x:is>
      </x:c>
      <x:c r="B52" s="6" t="inlineStr">
        <x:is>
          <x:t xml:space="preserve">Observações e informações complementares</x:t>
        </x:is>
      </x:c>
      <x:c r="C52" s="6" t="inlineStr">
        <x:is>
          <x:t xml:space="preserve">Final</x:t>
        </x:is>
      </x:c>
      <x:c r="D52" s="6" t="inlineStr">
        <x:is>
          <x:t xml:space="preserve">10.4.2(s)</x:t>
        </x:is>
      </x:c>
      <x:c r="E52" s="33">
        <x:f>IF(OR('01_Identificacao'!E3="Final (30 dias)",'01_Identificacao'!E3="Encerramento Pós-Reparo"),IF(LEN('03_Diagnostico'!A59)&gt;0,"OK","PENDENTE"),"N/A")</x:f>
      </x:c>
      <x:c r="F52" s="6" t="inlineStr">
        <x:is>
          <x:t xml:space="preserve">Aba 03 – Seção 8</x:t>
        </x:is>
      </x:c>
    </x:row>
    <x:row r="53">
      <x:c r="A53" s="6" t="inlineStr">
        <x:is>
          <x:t xml:space="preserve">10.4.2(t)</x:t>
        </x:is>
      </x:c>
      <x:c r="B53" s="6" t="inlineStr">
        <x:is>
          <x:t xml:space="preserve">Identificação do(s) responsável(is) pelo relatório</x:t>
        </x:is>
      </x:c>
      <x:c r="C53" s="6" t="inlineStr">
        <x:is>
          <x:t xml:space="preserve">Final</x:t>
        </x:is>
      </x:c>
      <x:c r="D53" s="6" t="inlineStr">
        <x:is>
          <x:t xml:space="preserve">10.4.2(t)</x:t>
        </x:is>
      </x:c>
      <x:c r="E53" s="33">
        <x:f>IF(OR('01_Identificacao'!E3="Final (30 dias)",'01_Identificacao'!E3="Encerramento Pós-Reparo"),IF(LEN('01_Identificacao'!B16)&gt;0,"OK","PENDENTE"),"N/A")</x:f>
      </x:c>
      <x:c r="F53" s="6" t="inlineStr">
        <x:is>
          <x:t xml:space="preserve">Aba 01 – Responsável técnico</x:t>
        </x:is>
      </x:c>
    </x:row>
    <x:row r="54">
      <x:c r="A54" s="6" t="inlineStr">
        <x:is>
          <x:t xml:space="preserve">10.2</x:t>
        </x:is>
      </x:c>
      <x:c r="B54" s="6" t="inlineStr">
        <x:is>
          <x:t xml:space="preserve">Registro das variáveis monitoradas que desenquadraram (limites, valores e evidências)</x:t>
        </x:is>
      </x:c>
      <x:c r="C54" s="6" t="inlineStr">
        <x:is>
          <x:t xml:space="preserve">Ambos</x:t>
        </x:is>
      </x:c>
      <x:c r="D54" s="6" t="inlineStr">
        <x:is>
          <x:t xml:space="preserve">10.2</x:t>
        </x:is>
      </x:c>
      <x:c r="E54" s="33">
        <x:f>IF(TRUE,IF(COUNTIF('01_Identificacao'!A35:A46,"&lt;&gt;")&gt;0,"OK","PENDENTE"),"N/A")</x:f>
      </x:c>
      <x:c r="F54" s="6" t="inlineStr">
        <x:is>
          <x:t xml:space="preserve">Aba 01 – Tabela Variáveis</x:t>
        </x:is>
      </x:c>
    </x:row>
  </x:sheetData>
  <x:mergeCells>
    <x:mergeCell ref="H4:K4"/>
    <x:mergeCell ref="A26:K26"/>
    <x:mergeCell ref="A3:K3"/>
    <x:mergeCell ref="I5:K5"/>
    <x:mergeCell ref="A2:K2"/>
    <x:mergeCell ref="I8:K8"/>
    <x:mergeCell ref="A1:K1"/>
    <x:mergeCell ref="A17:K17"/>
    <x:mergeCell ref="I7:K7"/>
    <x:mergeCell ref="I6:K6"/>
  </x:mergeCells>
  <x:conditionalFormatting sqref="E28:E53">
    <x:cfRule type="expression" dxfId="0" priority="1">
      <x:formula>$E28="PENDENTE"</x:formula>
    </x:cfRule>
    <x:cfRule type="expression" dxfId="1" priority="2">
      <x:formula>$E28="OK"</x:formula>
    </x:cfRule>
  </x:conditionalFormatting>
  <x:conditionalFormatting sqref="E54:E54">
    <x:cfRule type="expression" dxfId="0" priority="3">
      <x:formula>$E54="PENDENTE"</x:formula>
    </x:cfRule>
    <x:cfRule type="expression" dxfId="1" priority="4">
      <x:formula>$E54="OK"</x:formula>
    </x:cfRule>
  </x:conditionalFormatting>
  <x:conditionalFormatting sqref="B19:B23">
    <x:cfRule type="expression" dxfId="0" priority="5">
      <x:formula>=AND($B19&lt;&gt;"",TODAY()&gt;$B19,'01_Identificacao'!B3&lt;&gt;"Concluído")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8" customWidth="1"/>
    <x:col min="3" max="3" width="42" customWidth="1"/>
    <x:col min="4" max="4" width="18" customWidth="1"/>
    <x:col min="5" max="5" width="30" customWidth="1"/>
    <x:col min="6" max="6" width="24" customWidth="1"/>
    <x:col min="7" max="7" width="18" customWidth="1"/>
    <x:col min="8" max="8" width="18" customWidth="1"/>
    <x:col min="9" max="9" width="20" customWidth="1"/>
  </x:cols>
  <x:sheetData>
    <x:row r="1" ht="26" customHeight="1">
      <x:c r="A1" s="1" t="inlineStr">
        <x:is>
          <x:t xml:space="preserve">06 – Registro de Anexos e Evidências (logs, prints, relatórios, atas, etc.)</x:t>
        </x:is>
      </x:c>
    </x:row>
    <x:row r="2" ht="18" customHeight="1">
      <x:c r="A2" s="2" t="inlineStr">
        <x:is>
          <x:t xml:space="preserve">Registre aqui todas as evidências mencionadas no Diário, Diagnóstico e Plano de Ação. Use um ID curto (ex.: ANX-001).</x:t>
        </x:is>
      </x:c>
    </x:row>
    <x:row r="4">
      <x:c r="A4" s="5" t="inlineStr">
        <x:is>
          <x:t xml:space="preserve">ID</x:t>
        </x:is>
      </x:c>
      <x:c r="B4" s="5" t="inlineStr">
        <x:is>
          <x:t xml:space="preserve">Tipo</x:t>
        </x:is>
      </x:c>
      <x:c r="C4" s="5" t="inlineStr">
        <x:is>
          <x:t xml:space="preserve">Descrição</x:t>
        </x:is>
      </x:c>
      <x:c r="D4" s="5" t="inlineStr">
        <x:is>
          <x:t xml:space="preserve">Data</x:t>
        </x:is>
      </x:c>
      <x:c r="E4" s="5" t="inlineStr">
        <x:is>
          <x:t xml:space="preserve">Origem / Responsável</x:t>
        </x:is>
      </x:c>
      <x:c r="F4" s="5" t="inlineStr">
        <x:is>
          <x:t xml:space="preserve">Local (repositório/caminho)</x:t>
        </x:is>
      </x:c>
      <x:c r="G4" s="5" t="inlineStr">
        <x:is>
          <x:t xml:space="preserve">Referência (Aba/Linha)</x:t>
        </x:is>
      </x:c>
      <x:c r="H4" s="5" t="inlineStr">
        <x:is>
          <x:t xml:space="preserve">Enviado ANP?</x:t>
        </x:is>
      </x:c>
      <x:c r="I4" s="5" t="inlineStr">
        <x:is>
          <x:t xml:space="preserve">Obs.</x:t>
        </x:is>
      </x:c>
    </x:row>
    <x:row r="5">
      <x:c r="A5" s="7" t="n"/>
      <x:c r="B5" s="7" t="n"/>
      <x:c r="C5" s="7" t="n"/>
      <x:c r="D5" s="12" t="n"/>
      <x:c r="E5" s="7" t="n"/>
      <x:c r="F5" s="7" t="n"/>
      <x:c r="G5" s="7" t="n"/>
      <x:c r="H5" s="9" t="n"/>
      <x:c r="I5" s="7" t="n"/>
    </x:row>
    <x:row r="6">
      <x:c r="A6" s="7" t="n"/>
      <x:c r="B6" s="7" t="n"/>
      <x:c r="C6" s="7" t="n"/>
      <x:c r="D6" s="12" t="n"/>
      <x:c r="E6" s="7" t="n"/>
      <x:c r="F6" s="7" t="n"/>
      <x:c r="G6" s="7" t="n"/>
      <x:c r="H6" s="9" t="n"/>
      <x:c r="I6" s="7" t="n"/>
    </x:row>
    <x:row r="7">
      <x:c r="A7" s="7" t="n"/>
      <x:c r="B7" s="7" t="n"/>
      <x:c r="C7" s="7" t="n"/>
      <x:c r="D7" s="12" t="n"/>
      <x:c r="E7" s="7" t="n"/>
      <x:c r="F7" s="7" t="n"/>
      <x:c r="G7" s="7" t="n"/>
      <x:c r="H7" s="9" t="n"/>
      <x:c r="I7" s="7" t="n"/>
    </x:row>
    <x:row r="8">
      <x:c r="A8" s="7" t="n"/>
      <x:c r="B8" s="7" t="n"/>
      <x:c r="C8" s="7" t="n"/>
      <x:c r="D8" s="12" t="n"/>
      <x:c r="E8" s="7" t="n"/>
      <x:c r="F8" s="7" t="n"/>
      <x:c r="G8" s="7" t="n"/>
      <x:c r="H8" s="9" t="n"/>
      <x:c r="I8" s="7" t="n"/>
    </x:row>
    <x:row r="9">
      <x:c r="A9" s="7" t="n"/>
      <x:c r="B9" s="7" t="n"/>
      <x:c r="C9" s="7" t="n"/>
      <x:c r="D9" s="12" t="n"/>
      <x:c r="E9" s="7" t="n"/>
      <x:c r="F9" s="7" t="n"/>
      <x:c r="G9" s="7" t="n"/>
      <x:c r="H9" s="9" t="n"/>
      <x:c r="I9" s="7" t="n"/>
    </x:row>
    <x:row r="10">
      <x:c r="A10" s="7" t="n"/>
      <x:c r="B10" s="7" t="n"/>
      <x:c r="C10" s="7" t="n"/>
      <x:c r="D10" s="12" t="n"/>
      <x:c r="E10" s="7" t="n"/>
      <x:c r="F10" s="7" t="n"/>
      <x:c r="G10" s="7" t="n"/>
      <x:c r="H10" s="9" t="n"/>
      <x:c r="I10" s="7" t="n"/>
    </x:row>
    <x:row r="11">
      <x:c r="A11" s="7" t="n"/>
      <x:c r="B11" s="7" t="n"/>
      <x:c r="C11" s="7" t="n"/>
      <x:c r="D11" s="12" t="n"/>
      <x:c r="E11" s="7" t="n"/>
      <x:c r="F11" s="7" t="n"/>
      <x:c r="G11" s="7" t="n"/>
      <x:c r="H11" s="9" t="n"/>
      <x:c r="I11" s="7" t="n"/>
    </x:row>
    <x:row r="12">
      <x:c r="A12" s="7" t="n"/>
      <x:c r="B12" s="7" t="n"/>
      <x:c r="C12" s="7" t="n"/>
      <x:c r="D12" s="12" t="n"/>
      <x:c r="E12" s="7" t="n"/>
      <x:c r="F12" s="7" t="n"/>
      <x:c r="G12" s="7" t="n"/>
      <x:c r="H12" s="9" t="n"/>
      <x:c r="I12" s="7" t="n"/>
    </x:row>
    <x:row r="13">
      <x:c r="A13" s="7" t="n"/>
      <x:c r="B13" s="7" t="n"/>
      <x:c r="C13" s="7" t="n"/>
      <x:c r="D13" s="12" t="n"/>
      <x:c r="E13" s="7" t="n"/>
      <x:c r="F13" s="7" t="n"/>
      <x:c r="G13" s="7" t="n"/>
      <x:c r="H13" s="9" t="n"/>
      <x:c r="I13" s="7" t="n"/>
    </x:row>
    <x:row r="14">
      <x:c r="A14" s="7" t="n"/>
      <x:c r="B14" s="7" t="n"/>
      <x:c r="C14" s="7" t="n"/>
      <x:c r="D14" s="12" t="n"/>
      <x:c r="E14" s="7" t="n"/>
      <x:c r="F14" s="7" t="n"/>
      <x:c r="G14" s="7" t="n"/>
      <x:c r="H14" s="9" t="n"/>
      <x:c r="I14" s="7" t="n"/>
    </x:row>
    <x:row r="15">
      <x:c r="A15" s="7" t="n"/>
      <x:c r="B15" s="7" t="n"/>
      <x:c r="C15" s="7" t="n"/>
      <x:c r="D15" s="12" t="n"/>
      <x:c r="E15" s="7" t="n"/>
      <x:c r="F15" s="7" t="n"/>
      <x:c r="G15" s="7" t="n"/>
      <x:c r="H15" s="9" t="n"/>
      <x:c r="I15" s="7" t="n"/>
    </x:row>
    <x:row r="16">
      <x:c r="A16" s="7" t="n"/>
      <x:c r="B16" s="7" t="n"/>
      <x:c r="C16" s="7" t="n"/>
      <x:c r="D16" s="12" t="n"/>
      <x:c r="E16" s="7" t="n"/>
      <x:c r="F16" s="7" t="n"/>
      <x:c r="G16" s="7" t="n"/>
      <x:c r="H16" s="9" t="n"/>
      <x:c r="I16" s="7" t="n"/>
    </x:row>
    <x:row r="17">
      <x:c r="A17" s="7" t="n"/>
      <x:c r="B17" s="7" t="n"/>
      <x:c r="C17" s="7" t="n"/>
      <x:c r="D17" s="12" t="n"/>
      <x:c r="E17" s="7" t="n"/>
      <x:c r="F17" s="7" t="n"/>
      <x:c r="G17" s="7" t="n"/>
      <x:c r="H17" s="9" t="n"/>
      <x:c r="I17" s="7" t="n"/>
    </x:row>
    <x:row r="18">
      <x:c r="A18" s="7" t="n"/>
      <x:c r="B18" s="7" t="n"/>
      <x:c r="C18" s="7" t="n"/>
      <x:c r="D18" s="12" t="n"/>
      <x:c r="E18" s="7" t="n"/>
      <x:c r="F18" s="7" t="n"/>
      <x:c r="G18" s="7" t="n"/>
      <x:c r="H18" s="9" t="n"/>
      <x:c r="I18" s="7" t="n"/>
    </x:row>
    <x:row r="19">
      <x:c r="A19" s="7" t="n"/>
      <x:c r="B19" s="7" t="n"/>
      <x:c r="C19" s="7" t="n"/>
      <x:c r="D19" s="12" t="n"/>
      <x:c r="E19" s="7" t="n"/>
      <x:c r="F19" s="7" t="n"/>
      <x:c r="G19" s="7" t="n"/>
      <x:c r="H19" s="9" t="n"/>
      <x:c r="I19" s="7" t="n"/>
    </x:row>
    <x:row r="20">
      <x:c r="A20" s="7" t="n"/>
      <x:c r="B20" s="7" t="n"/>
      <x:c r="C20" s="7" t="n"/>
      <x:c r="D20" s="12" t="n"/>
      <x:c r="E20" s="7" t="n"/>
      <x:c r="F20" s="7" t="n"/>
      <x:c r="G20" s="7" t="n"/>
      <x:c r="H20" s="9" t="n"/>
      <x:c r="I20" s="7" t="n"/>
    </x:row>
    <x:row r="21">
      <x:c r="A21" s="7" t="n"/>
      <x:c r="B21" s="7" t="n"/>
      <x:c r="C21" s="7" t="n"/>
      <x:c r="D21" s="12" t="n"/>
      <x:c r="E21" s="7" t="n"/>
      <x:c r="F21" s="7" t="n"/>
      <x:c r="G21" s="7" t="n"/>
      <x:c r="H21" s="9" t="n"/>
      <x:c r="I21" s="7" t="n"/>
    </x:row>
    <x:row r="22">
      <x:c r="A22" s="7" t="n"/>
      <x:c r="B22" s="7" t="n"/>
      <x:c r="C22" s="7" t="n"/>
      <x:c r="D22" s="12" t="n"/>
      <x:c r="E22" s="7" t="n"/>
      <x:c r="F22" s="7" t="n"/>
      <x:c r="G22" s="7" t="n"/>
      <x:c r="H22" s="9" t="n"/>
      <x:c r="I22" s="7" t="n"/>
    </x:row>
    <x:row r="23">
      <x:c r="A23" s="7" t="n"/>
      <x:c r="B23" s="7" t="n"/>
      <x:c r="C23" s="7" t="n"/>
      <x:c r="D23" s="12" t="n"/>
      <x:c r="E23" s="7" t="n"/>
      <x:c r="F23" s="7" t="n"/>
      <x:c r="G23" s="7" t="n"/>
      <x:c r="H23" s="9" t="n"/>
      <x:c r="I23" s="7" t="n"/>
    </x:row>
    <x:row r="24">
      <x:c r="A24" s="7" t="n"/>
      <x:c r="B24" s="7" t="n"/>
      <x:c r="C24" s="7" t="n"/>
      <x:c r="D24" s="12" t="n"/>
      <x:c r="E24" s="7" t="n"/>
      <x:c r="F24" s="7" t="n"/>
      <x:c r="G24" s="7" t="n"/>
      <x:c r="H24" s="9" t="n"/>
      <x:c r="I24" s="7" t="n"/>
    </x:row>
    <x:row r="25">
      <x:c r="A25" s="7" t="n"/>
      <x:c r="B25" s="7" t="n"/>
      <x:c r="C25" s="7" t="n"/>
      <x:c r="D25" s="12" t="n"/>
      <x:c r="E25" s="7" t="n"/>
      <x:c r="F25" s="7" t="n"/>
      <x:c r="G25" s="7" t="n"/>
      <x:c r="H25" s="9" t="n"/>
      <x:c r="I25" s="7" t="n"/>
    </x:row>
    <x:row r="26">
      <x:c r="A26" s="7" t="n"/>
      <x:c r="B26" s="7" t="n"/>
      <x:c r="C26" s="7" t="n"/>
      <x:c r="D26" s="12" t="n"/>
      <x:c r="E26" s="7" t="n"/>
      <x:c r="F26" s="7" t="n"/>
      <x:c r="G26" s="7" t="n"/>
      <x:c r="H26" s="9" t="n"/>
      <x:c r="I26" s="7" t="n"/>
    </x:row>
    <x:row r="27">
      <x:c r="A27" s="7" t="n"/>
      <x:c r="B27" s="7" t="n"/>
      <x:c r="C27" s="7" t="n"/>
      <x:c r="D27" s="12" t="n"/>
      <x:c r="E27" s="7" t="n"/>
      <x:c r="F27" s="7" t="n"/>
      <x:c r="G27" s="7" t="n"/>
      <x:c r="H27" s="9" t="n"/>
      <x:c r="I27" s="7" t="n"/>
    </x:row>
    <x:row r="28">
      <x:c r="A28" s="7" t="n"/>
      <x:c r="B28" s="7" t="n"/>
      <x:c r="C28" s="7" t="n"/>
      <x:c r="D28" s="12" t="n"/>
      <x:c r="E28" s="7" t="n"/>
      <x:c r="F28" s="7" t="n"/>
      <x:c r="G28" s="7" t="n"/>
      <x:c r="H28" s="9" t="n"/>
      <x:c r="I28" s="7" t="n"/>
    </x:row>
    <x:row r="29">
      <x:c r="A29" s="7" t="n"/>
      <x:c r="B29" s="7" t="n"/>
      <x:c r="C29" s="7" t="n"/>
      <x:c r="D29" s="12" t="n"/>
      <x:c r="E29" s="7" t="n"/>
      <x:c r="F29" s="7" t="n"/>
      <x:c r="G29" s="7" t="n"/>
      <x:c r="H29" s="9" t="n"/>
      <x:c r="I29" s="7" t="n"/>
    </x:row>
    <x:row r="30">
      <x:c r="A30" s="7" t="n"/>
      <x:c r="B30" s="7" t="n"/>
      <x:c r="C30" s="7" t="n"/>
      <x:c r="D30" s="12" t="n"/>
      <x:c r="E30" s="7" t="n"/>
      <x:c r="F30" s="7" t="n"/>
      <x:c r="G30" s="7" t="n"/>
      <x:c r="H30" s="9" t="n"/>
      <x:c r="I30" s="7" t="n"/>
    </x:row>
    <x:row r="31">
      <x:c r="A31" s="7" t="n"/>
      <x:c r="B31" s="7" t="n"/>
      <x:c r="C31" s="7" t="n"/>
      <x:c r="D31" s="12" t="n"/>
      <x:c r="E31" s="7" t="n"/>
      <x:c r="F31" s="7" t="n"/>
      <x:c r="G31" s="7" t="n"/>
      <x:c r="H31" s="9" t="n"/>
      <x:c r="I31" s="7" t="n"/>
    </x:row>
    <x:row r="32">
      <x:c r="A32" s="7" t="n"/>
      <x:c r="B32" s="7" t="n"/>
      <x:c r="C32" s="7" t="n"/>
      <x:c r="D32" s="12" t="n"/>
      <x:c r="E32" s="7" t="n"/>
      <x:c r="F32" s="7" t="n"/>
      <x:c r="G32" s="7" t="n"/>
      <x:c r="H32" s="9" t="n"/>
      <x:c r="I32" s="7" t="n"/>
    </x:row>
    <x:row r="33">
      <x:c r="A33" s="7" t="n"/>
      <x:c r="B33" s="7" t="n"/>
      <x:c r="C33" s="7" t="n"/>
      <x:c r="D33" s="12" t="n"/>
      <x:c r="E33" s="7" t="n"/>
      <x:c r="F33" s="7" t="n"/>
      <x:c r="G33" s="7" t="n"/>
      <x:c r="H33" s="9" t="n"/>
      <x:c r="I33" s="7" t="n"/>
    </x:row>
    <x:row r="34">
      <x:c r="A34" s="7" t="n"/>
      <x:c r="B34" s="7" t="n"/>
      <x:c r="C34" s="7" t="n"/>
      <x:c r="D34" s="12" t="n"/>
      <x:c r="E34" s="7" t="n"/>
      <x:c r="F34" s="7" t="n"/>
      <x:c r="G34" s="7" t="n"/>
      <x:c r="H34" s="9" t="n"/>
      <x:c r="I34" s="7" t="n"/>
    </x:row>
    <x:row r="35">
      <x:c r="A35" s="7" t="n"/>
      <x:c r="B35" s="7" t="n"/>
      <x:c r="C35" s="7" t="n"/>
      <x:c r="D35" s="12" t="n"/>
      <x:c r="E35" s="7" t="n"/>
      <x:c r="F35" s="7" t="n"/>
      <x:c r="G35" s="7" t="n"/>
      <x:c r="H35" s="9" t="n"/>
      <x:c r="I35" s="7" t="n"/>
    </x:row>
    <x:row r="36">
      <x:c r="A36" s="7" t="n"/>
      <x:c r="B36" s="7" t="n"/>
      <x:c r="C36" s="7" t="n"/>
      <x:c r="D36" s="12" t="n"/>
      <x:c r="E36" s="7" t="n"/>
      <x:c r="F36" s="7" t="n"/>
      <x:c r="G36" s="7" t="n"/>
      <x:c r="H36" s="9" t="n"/>
      <x:c r="I36" s="7" t="n"/>
    </x:row>
    <x:row r="37">
      <x:c r="A37" s="7" t="n"/>
      <x:c r="B37" s="7" t="n"/>
      <x:c r="C37" s="7" t="n"/>
      <x:c r="D37" s="12" t="n"/>
      <x:c r="E37" s="7" t="n"/>
      <x:c r="F37" s="7" t="n"/>
      <x:c r="G37" s="7" t="n"/>
      <x:c r="H37" s="9" t="n"/>
      <x:c r="I37" s="7" t="n"/>
    </x:row>
    <x:row r="38">
      <x:c r="A38" s="7" t="n"/>
      <x:c r="B38" s="7" t="n"/>
      <x:c r="C38" s="7" t="n"/>
      <x:c r="D38" s="12" t="n"/>
      <x:c r="E38" s="7" t="n"/>
      <x:c r="F38" s="7" t="n"/>
      <x:c r="G38" s="7" t="n"/>
      <x:c r="H38" s="9" t="n"/>
      <x:c r="I38" s="7" t="n"/>
    </x:row>
    <x:row r="39">
      <x:c r="A39" s="7" t="n"/>
      <x:c r="B39" s="7" t="n"/>
      <x:c r="C39" s="7" t="n"/>
      <x:c r="D39" s="12" t="n"/>
      <x:c r="E39" s="7" t="n"/>
      <x:c r="F39" s="7" t="n"/>
      <x:c r="G39" s="7" t="n"/>
      <x:c r="H39" s="9" t="n"/>
      <x:c r="I39" s="7" t="n"/>
    </x:row>
    <x:row r="40">
      <x:c r="A40" s="7" t="n"/>
      <x:c r="B40" s="7" t="n"/>
      <x:c r="C40" s="7" t="n"/>
      <x:c r="D40" s="12" t="n"/>
      <x:c r="E40" s="7" t="n"/>
      <x:c r="F40" s="7" t="n"/>
      <x:c r="G40" s="7" t="n"/>
      <x:c r="H40" s="9" t="n"/>
      <x:c r="I40" s="7" t="n"/>
    </x:row>
    <x:row r="41">
      <x:c r="A41" s="7" t="n"/>
      <x:c r="B41" s="7" t="n"/>
      <x:c r="C41" s="7" t="n"/>
      <x:c r="D41" s="12" t="n"/>
      <x:c r="E41" s="7" t="n"/>
      <x:c r="F41" s="7" t="n"/>
      <x:c r="G41" s="7" t="n"/>
      <x:c r="H41" s="9" t="n"/>
      <x:c r="I41" s="7" t="n"/>
    </x:row>
    <x:row r="42">
      <x:c r="A42" s="7" t="n"/>
      <x:c r="B42" s="7" t="n"/>
      <x:c r="C42" s="7" t="n"/>
      <x:c r="D42" s="12" t="n"/>
      <x:c r="E42" s="7" t="n"/>
      <x:c r="F42" s="7" t="n"/>
      <x:c r="G42" s="7" t="n"/>
      <x:c r="H42" s="9" t="n"/>
      <x:c r="I42" s="7" t="n"/>
    </x:row>
    <x:row r="43">
      <x:c r="A43" s="7" t="n"/>
      <x:c r="B43" s="7" t="n"/>
      <x:c r="C43" s="7" t="n"/>
      <x:c r="D43" s="12" t="n"/>
      <x:c r="E43" s="7" t="n"/>
      <x:c r="F43" s="7" t="n"/>
      <x:c r="G43" s="7" t="n"/>
      <x:c r="H43" s="9" t="n"/>
      <x:c r="I43" s="7" t="n"/>
    </x:row>
    <x:row r="44">
      <x:c r="A44" s="7" t="n"/>
      <x:c r="B44" s="7" t="n"/>
      <x:c r="C44" s="7" t="n"/>
      <x:c r="D44" s="12" t="n"/>
      <x:c r="E44" s="7" t="n"/>
      <x:c r="F44" s="7" t="n"/>
      <x:c r="G44" s="7" t="n"/>
      <x:c r="H44" s="9" t="n"/>
      <x:c r="I44" s="7" t="n"/>
    </x:row>
    <x:row r="45">
      <x:c r="A45" s="7" t="n"/>
      <x:c r="B45" s="7" t="n"/>
      <x:c r="C45" s="7" t="n"/>
      <x:c r="D45" s="12" t="n"/>
      <x:c r="E45" s="7" t="n"/>
      <x:c r="F45" s="7" t="n"/>
      <x:c r="G45" s="7" t="n"/>
      <x:c r="H45" s="9" t="n"/>
      <x:c r="I45" s="7" t="n"/>
    </x:row>
    <x:row r="46">
      <x:c r="A46" s="7" t="n"/>
      <x:c r="B46" s="7" t="n"/>
      <x:c r="C46" s="7" t="n"/>
      <x:c r="D46" s="12" t="n"/>
      <x:c r="E46" s="7" t="n"/>
      <x:c r="F46" s="7" t="n"/>
      <x:c r="G46" s="7" t="n"/>
      <x:c r="H46" s="9" t="n"/>
      <x:c r="I46" s="7" t="n"/>
    </x:row>
    <x:row r="47">
      <x:c r="A47" s="7" t="n"/>
      <x:c r="B47" s="7" t="n"/>
      <x:c r="C47" s="7" t="n"/>
      <x:c r="D47" s="12" t="n"/>
      <x:c r="E47" s="7" t="n"/>
      <x:c r="F47" s="7" t="n"/>
      <x:c r="G47" s="7" t="n"/>
      <x:c r="H47" s="9" t="n"/>
      <x:c r="I47" s="7" t="n"/>
    </x:row>
    <x:row r="48">
      <x:c r="A48" s="7" t="n"/>
      <x:c r="B48" s="7" t="n"/>
      <x:c r="C48" s="7" t="n"/>
      <x:c r="D48" s="12" t="n"/>
      <x:c r="E48" s="7" t="n"/>
      <x:c r="F48" s="7" t="n"/>
      <x:c r="G48" s="7" t="n"/>
      <x:c r="H48" s="9" t="n"/>
      <x:c r="I48" s="7" t="n"/>
    </x:row>
    <x:row r="49">
      <x:c r="A49" s="7" t="n"/>
      <x:c r="B49" s="7" t="n"/>
      <x:c r="C49" s="7" t="n"/>
      <x:c r="D49" s="12" t="n"/>
      <x:c r="E49" s="7" t="n"/>
      <x:c r="F49" s="7" t="n"/>
      <x:c r="G49" s="7" t="n"/>
      <x:c r="H49" s="9" t="n"/>
      <x:c r="I49" s="7" t="n"/>
    </x:row>
    <x:row r="50">
      <x:c r="A50" s="7" t="n"/>
      <x:c r="B50" s="7" t="n"/>
      <x:c r="C50" s="7" t="n"/>
      <x:c r="D50" s="12" t="n"/>
      <x:c r="E50" s="7" t="n"/>
      <x:c r="F50" s="7" t="n"/>
      <x:c r="G50" s="7" t="n"/>
      <x:c r="H50" s="9" t="n"/>
      <x:c r="I50" s="7" t="n"/>
    </x:row>
    <x:row r="51">
      <x:c r="A51" s="7" t="n"/>
      <x:c r="B51" s="7" t="n"/>
      <x:c r="C51" s="7" t="n"/>
      <x:c r="D51" s="12" t="n"/>
      <x:c r="E51" s="7" t="n"/>
      <x:c r="F51" s="7" t="n"/>
      <x:c r="G51" s="7" t="n"/>
      <x:c r="H51" s="9" t="n"/>
      <x:c r="I51" s="7" t="n"/>
    </x:row>
    <x:row r="52">
      <x:c r="A52" s="7" t="n"/>
      <x:c r="B52" s="7" t="n"/>
      <x:c r="C52" s="7" t="n"/>
      <x:c r="D52" s="12" t="n"/>
      <x:c r="E52" s="7" t="n"/>
      <x:c r="F52" s="7" t="n"/>
      <x:c r="G52" s="7" t="n"/>
      <x:c r="H52" s="9" t="n"/>
      <x:c r="I52" s="7" t="n"/>
    </x:row>
    <x:row r="53">
      <x:c r="A53" s="7" t="n"/>
      <x:c r="B53" s="7" t="n"/>
      <x:c r="C53" s="7" t="n"/>
      <x:c r="D53" s="12" t="n"/>
      <x:c r="E53" s="7" t="n"/>
      <x:c r="F53" s="7" t="n"/>
      <x:c r="G53" s="7" t="n"/>
      <x:c r="H53" s="9" t="n"/>
      <x:c r="I53" s="7" t="n"/>
    </x:row>
    <x:row r="54">
      <x:c r="A54" s="7" t="n"/>
      <x:c r="B54" s="7" t="n"/>
      <x:c r="C54" s="7" t="n"/>
      <x:c r="D54" s="12" t="n"/>
      <x:c r="E54" s="7" t="n"/>
      <x:c r="F54" s="7" t="n"/>
      <x:c r="G54" s="7" t="n"/>
      <x:c r="H54" s="9" t="n"/>
      <x:c r="I54" s="7" t="n"/>
    </x:row>
    <x:row r="55">
      <x:c r="A55" s="7" t="n"/>
      <x:c r="B55" s="7" t="n"/>
      <x:c r="C55" s="7" t="n"/>
      <x:c r="D55" s="12" t="n"/>
      <x:c r="E55" s="7" t="n"/>
      <x:c r="F55" s="7" t="n"/>
      <x:c r="G55" s="7" t="n"/>
      <x:c r="H55" s="9" t="n"/>
      <x:c r="I55" s="7" t="n"/>
    </x:row>
    <x:row r="56">
      <x:c r="A56" s="7" t="n"/>
      <x:c r="B56" s="7" t="n"/>
      <x:c r="C56" s="7" t="n"/>
      <x:c r="D56" s="12" t="n"/>
      <x:c r="E56" s="7" t="n"/>
      <x:c r="F56" s="7" t="n"/>
      <x:c r="G56" s="7" t="n"/>
      <x:c r="H56" s="9" t="n"/>
      <x:c r="I56" s="7" t="n"/>
    </x:row>
    <x:row r="57">
      <x:c r="A57" s="7" t="n"/>
      <x:c r="B57" s="7" t="n"/>
      <x:c r="C57" s="7" t="n"/>
      <x:c r="D57" s="12" t="n"/>
      <x:c r="E57" s="7" t="n"/>
      <x:c r="F57" s="7" t="n"/>
      <x:c r="G57" s="7" t="n"/>
      <x:c r="H57" s="9" t="n"/>
      <x:c r="I57" s="7" t="n"/>
    </x:row>
    <x:row r="58">
      <x:c r="A58" s="7" t="n"/>
      <x:c r="B58" s="7" t="n"/>
      <x:c r="C58" s="7" t="n"/>
      <x:c r="D58" s="12" t="n"/>
      <x:c r="E58" s="7" t="n"/>
      <x:c r="F58" s="7" t="n"/>
      <x:c r="G58" s="7" t="n"/>
      <x:c r="H58" s="9" t="n"/>
      <x:c r="I58" s="7" t="n"/>
    </x:row>
    <x:row r="59">
      <x:c r="A59" s="7" t="n"/>
      <x:c r="B59" s="7" t="n"/>
      <x:c r="C59" s="7" t="n"/>
      <x:c r="D59" s="12" t="n"/>
      <x:c r="E59" s="7" t="n"/>
      <x:c r="F59" s="7" t="n"/>
      <x:c r="G59" s="7" t="n"/>
      <x:c r="H59" s="9" t="n"/>
      <x:c r="I59" s="7" t="n"/>
    </x:row>
    <x:row r="60">
      <x:c r="A60" s="7" t="n"/>
      <x:c r="B60" s="7" t="n"/>
      <x:c r="C60" s="7" t="n"/>
      <x:c r="D60" s="12" t="n"/>
      <x:c r="E60" s="7" t="n"/>
      <x:c r="F60" s="7" t="n"/>
      <x:c r="G60" s="7" t="n"/>
      <x:c r="H60" s="9" t="n"/>
      <x:c r="I60" s="7" t="n"/>
    </x:row>
    <x:row r="61">
      <x:c r="A61" s="7" t="n"/>
      <x:c r="B61" s="7" t="n"/>
      <x:c r="C61" s="7" t="n"/>
      <x:c r="D61" s="12" t="n"/>
      <x:c r="E61" s="7" t="n"/>
      <x:c r="F61" s="7" t="n"/>
      <x:c r="G61" s="7" t="n"/>
      <x:c r="H61" s="9" t="n"/>
      <x:c r="I61" s="7" t="n"/>
    </x:row>
    <x:row r="62">
      <x:c r="A62" s="7" t="n"/>
      <x:c r="B62" s="7" t="n"/>
      <x:c r="C62" s="7" t="n"/>
      <x:c r="D62" s="12" t="n"/>
      <x:c r="E62" s="7" t="n"/>
      <x:c r="F62" s="7" t="n"/>
      <x:c r="G62" s="7" t="n"/>
      <x:c r="H62" s="9" t="n"/>
      <x:c r="I62" s="7" t="n"/>
    </x:row>
    <x:row r="63">
      <x:c r="A63" s="7" t="n"/>
      <x:c r="B63" s="7" t="n"/>
      <x:c r="C63" s="7" t="n"/>
      <x:c r="D63" s="12" t="n"/>
      <x:c r="E63" s="7" t="n"/>
      <x:c r="F63" s="7" t="n"/>
      <x:c r="G63" s="7" t="n"/>
      <x:c r="H63" s="9" t="n"/>
      <x:c r="I63" s="7" t="n"/>
    </x:row>
    <x:row r="64">
      <x:c r="A64" s="7" t="n"/>
      <x:c r="B64" s="7" t="n"/>
      <x:c r="C64" s="7" t="n"/>
      <x:c r="D64" s="12" t="n"/>
      <x:c r="E64" s="7" t="n"/>
      <x:c r="F64" s="7" t="n"/>
      <x:c r="G64" s="7" t="n"/>
      <x:c r="H64" s="9" t="n"/>
      <x:c r="I64" s="7" t="n"/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6" customWidth="1"/>
    <x:col min="3" max="3" width="44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</x:cols>
  <x:sheetData>
    <x:row r="1" ht="26" customHeight="1">
      <x:c r="A1" s="1" t="inlineStr">
        <x:is>
          <x:t xml:space="preserve">07 – Pendências / Triagem (preenchimento opcional)</x:t>
        </x:is>
      </x:c>
    </x:row>
    <x:row r="2" ht="18" customHeight="1">
      <x:c r="A2" s="2" t="inlineStr">
        <x:is>
          <x:t xml:space="preserve">Sugestão: filtre a aba 05 por 'PENDENTE' e registre aqui somente os itens pendentes para acompanhamento (cópia manual).</x:t>
        </x:is>
      </x:c>
    </x:row>
    <x:row r="4">
      <x:c r="A4" s="5" t="inlineStr">
        <x:is>
          <x:t xml:space="preserve">Situação</x:t>
        </x:is>
      </x:c>
      <x:c r="B4" s="5" t="inlineStr">
        <x:is>
          <x:t xml:space="preserve">Item</x:t>
        </x:is>
      </x:c>
      <x:c r="C4" s="5" t="inlineStr">
        <x:is>
          <x:t xml:space="preserve">Descrição</x:t>
        </x:is>
      </x:c>
      <x:c r="D4" s="5" t="inlineStr">
        <x:is>
          <x:t xml:space="preserve">Obrigatório para</x:t>
        </x:is>
      </x:c>
      <x:c r="E4" s="5" t="inlineStr">
        <x:is>
          <x:t xml:space="preserve">Responsável</x:t>
        </x:is>
      </x:c>
      <x:c r="F4" s="5" t="inlineStr">
        <x:is>
          <x:t xml:space="preserve">Prazo</x:t>
        </x:is>
      </x:c>
      <x:c r="G4" s="5" t="inlineStr">
        <x:is>
          <x:t xml:space="preserve">Evidência</x:t>
        </x:is>
      </x:c>
      <x:c r="H4" s="5" t="inlineStr">
        <x:is>
          <x:t xml:space="preserve">Status</x:t>
        </x:is>
      </x:c>
      <x:c r="I4" s="5" t="inlineStr">
        <x:is>
          <x:t xml:space="preserve">Data</x:t>
        </x:is>
      </x:c>
      <x:c r="J4" s="5" t="inlineStr">
        <x:is>
          <x:t xml:space="preserve">Ação</x:t>
        </x:is>
      </x:c>
      <x:c r="K4" s="5" t="inlineStr">
        <x:is>
          <x:t xml:space="preserve">Obs.</x:t>
        </x:is>
      </x:c>
    </x:row>
    <x:row r="5">
      <x:c r="A5" s="7" t="n"/>
      <x:c r="B5" s="7" t="n"/>
      <x:c r="C5" s="7" t="n"/>
      <x:c r="D5" s="7" t="n"/>
      <x:c r="E5" s="7" t="n"/>
      <x:c r="F5" s="12" t="n"/>
      <x:c r="G5" s="7" t="n"/>
      <x:c r="H5" s="7" t="n"/>
      <x:c r="I5" s="12" t="n"/>
      <x:c r="J5" s="7" t="n"/>
      <x:c r="K5" s="7" t="n"/>
    </x:row>
    <x:row r="6">
      <x:c r="A6" s="7" t="n"/>
      <x:c r="B6" s="7" t="n"/>
      <x:c r="C6" s="7" t="n"/>
      <x:c r="D6" s="7" t="n"/>
      <x:c r="E6" s="7" t="n"/>
      <x:c r="F6" s="12" t="n"/>
      <x:c r="G6" s="7" t="n"/>
      <x:c r="H6" s="7" t="n"/>
      <x:c r="I6" s="12" t="n"/>
      <x:c r="J6" s="7" t="n"/>
      <x:c r="K6" s="7" t="n"/>
    </x:row>
    <x:row r="7">
      <x:c r="A7" s="7" t="n"/>
      <x:c r="B7" s="7" t="n"/>
      <x:c r="C7" s="7" t="n"/>
      <x:c r="D7" s="7" t="n"/>
      <x:c r="E7" s="7" t="n"/>
      <x:c r="F7" s="12" t="n"/>
      <x:c r="G7" s="7" t="n"/>
      <x:c r="H7" s="7" t="n"/>
      <x:c r="I7" s="12" t="n"/>
      <x:c r="J7" s="7" t="n"/>
      <x:c r="K7" s="7" t="n"/>
    </x:row>
    <x:row r="8">
      <x:c r="A8" s="7" t="n"/>
      <x:c r="B8" s="7" t="n"/>
      <x:c r="C8" s="7" t="n"/>
      <x:c r="D8" s="7" t="n"/>
      <x:c r="E8" s="7" t="n"/>
      <x:c r="F8" s="12" t="n"/>
      <x:c r="G8" s="7" t="n"/>
      <x:c r="H8" s="7" t="n"/>
      <x:c r="I8" s="12" t="n"/>
      <x:c r="J8" s="7" t="n"/>
      <x:c r="K8" s="7" t="n"/>
    </x:row>
    <x:row r="9">
      <x:c r="A9" s="7" t="n"/>
      <x:c r="B9" s="7" t="n"/>
      <x:c r="C9" s="7" t="n"/>
      <x:c r="D9" s="7" t="n"/>
      <x:c r="E9" s="7" t="n"/>
      <x:c r="F9" s="12" t="n"/>
      <x:c r="G9" s="7" t="n"/>
      <x:c r="H9" s="7" t="n"/>
      <x:c r="I9" s="12" t="n"/>
      <x:c r="J9" s="7" t="n"/>
      <x:c r="K9" s="7" t="n"/>
    </x:row>
    <x:row r="10">
      <x:c r="A10" s="7" t="n"/>
      <x:c r="B10" s="7" t="n"/>
      <x:c r="C10" s="7" t="n"/>
      <x:c r="D10" s="7" t="n"/>
      <x:c r="E10" s="7" t="n"/>
      <x:c r="F10" s="12" t="n"/>
      <x:c r="G10" s="7" t="n"/>
      <x:c r="H10" s="7" t="n"/>
      <x:c r="I10" s="12" t="n"/>
      <x:c r="J10" s="7" t="n"/>
      <x:c r="K10" s="7" t="n"/>
    </x:row>
    <x:row r="11">
      <x:c r="A11" s="7" t="n"/>
      <x:c r="B11" s="7" t="n"/>
      <x:c r="C11" s="7" t="n"/>
      <x:c r="D11" s="7" t="n"/>
      <x:c r="E11" s="7" t="n"/>
      <x:c r="F11" s="12" t="n"/>
      <x:c r="G11" s="7" t="n"/>
      <x:c r="H11" s="7" t="n"/>
      <x:c r="I11" s="12" t="n"/>
      <x:c r="J11" s="7" t="n"/>
      <x:c r="K11" s="7" t="n"/>
    </x:row>
    <x:row r="12">
      <x:c r="A12" s="7" t="n"/>
      <x:c r="B12" s="7" t="n"/>
      <x:c r="C12" s="7" t="n"/>
      <x:c r="D12" s="7" t="n"/>
      <x:c r="E12" s="7" t="n"/>
      <x:c r="F12" s="12" t="n"/>
      <x:c r="G12" s="7" t="n"/>
      <x:c r="H12" s="7" t="n"/>
      <x:c r="I12" s="12" t="n"/>
      <x:c r="J12" s="7" t="n"/>
      <x:c r="K12" s="7" t="n"/>
    </x:row>
    <x:row r="13">
      <x:c r="A13" s="7" t="n"/>
      <x:c r="B13" s="7" t="n"/>
      <x:c r="C13" s="7" t="n"/>
      <x:c r="D13" s="7" t="n"/>
      <x:c r="E13" s="7" t="n"/>
      <x:c r="F13" s="12" t="n"/>
      <x:c r="G13" s="7" t="n"/>
      <x:c r="H13" s="7" t="n"/>
      <x:c r="I13" s="12" t="n"/>
      <x:c r="J13" s="7" t="n"/>
      <x:c r="K13" s="7" t="n"/>
    </x:row>
    <x:row r="14">
      <x:c r="A14" s="7" t="n"/>
      <x:c r="B14" s="7" t="n"/>
      <x:c r="C14" s="7" t="n"/>
      <x:c r="D14" s="7" t="n"/>
      <x:c r="E14" s="7" t="n"/>
      <x:c r="F14" s="12" t="n"/>
      <x:c r="G14" s="7" t="n"/>
      <x:c r="H14" s="7" t="n"/>
      <x:c r="I14" s="12" t="n"/>
      <x:c r="J14" s="7" t="n"/>
      <x:c r="K14" s="7" t="n"/>
    </x:row>
    <x:row r="15">
      <x:c r="A15" s="7" t="n"/>
      <x:c r="B15" s="7" t="n"/>
      <x:c r="C15" s="7" t="n"/>
      <x:c r="D15" s="7" t="n"/>
      <x:c r="E15" s="7" t="n"/>
      <x:c r="F15" s="12" t="n"/>
      <x:c r="G15" s="7" t="n"/>
      <x:c r="H15" s="7" t="n"/>
      <x:c r="I15" s="12" t="n"/>
      <x:c r="J15" s="7" t="n"/>
      <x:c r="K15" s="7" t="n"/>
    </x:row>
    <x:row r="16">
      <x:c r="A16" s="7" t="n"/>
      <x:c r="B16" s="7" t="n"/>
      <x:c r="C16" s="7" t="n"/>
      <x:c r="D16" s="7" t="n"/>
      <x:c r="E16" s="7" t="n"/>
      <x:c r="F16" s="12" t="n"/>
      <x:c r="G16" s="7" t="n"/>
      <x:c r="H16" s="7" t="n"/>
      <x:c r="I16" s="12" t="n"/>
      <x:c r="J16" s="7" t="n"/>
      <x:c r="K16" s="7" t="n"/>
    </x:row>
    <x:row r="17">
      <x:c r="A17" s="7" t="n"/>
      <x:c r="B17" s="7" t="n"/>
      <x:c r="C17" s="7" t="n"/>
      <x:c r="D17" s="7" t="n"/>
      <x:c r="E17" s="7" t="n"/>
      <x:c r="F17" s="12" t="n"/>
      <x:c r="G17" s="7" t="n"/>
      <x:c r="H17" s="7" t="n"/>
      <x:c r="I17" s="12" t="n"/>
      <x:c r="J17" s="7" t="n"/>
      <x:c r="K17" s="7" t="n"/>
    </x:row>
    <x:row r="18">
      <x:c r="A18" s="7" t="n"/>
      <x:c r="B18" s="7" t="n"/>
      <x:c r="C18" s="7" t="n"/>
      <x:c r="D18" s="7" t="n"/>
      <x:c r="E18" s="7" t="n"/>
      <x:c r="F18" s="12" t="n"/>
      <x:c r="G18" s="7" t="n"/>
      <x:c r="H18" s="7" t="n"/>
      <x:c r="I18" s="12" t="n"/>
      <x:c r="J18" s="7" t="n"/>
      <x:c r="K18" s="7" t="n"/>
    </x:row>
    <x:row r="19">
      <x:c r="A19" s="7" t="n"/>
      <x:c r="B19" s="7" t="n"/>
      <x:c r="C19" s="7" t="n"/>
      <x:c r="D19" s="7" t="n"/>
      <x:c r="E19" s="7" t="n"/>
      <x:c r="F19" s="12" t="n"/>
      <x:c r="G19" s="7" t="n"/>
      <x:c r="H19" s="7" t="n"/>
      <x:c r="I19" s="12" t="n"/>
      <x:c r="J19" s="7" t="n"/>
      <x:c r="K19" s="7" t="n"/>
    </x:row>
    <x:row r="20">
      <x:c r="A20" s="7" t="n"/>
      <x:c r="B20" s="7" t="n"/>
      <x:c r="C20" s="7" t="n"/>
      <x:c r="D20" s="7" t="n"/>
      <x:c r="E20" s="7" t="n"/>
      <x:c r="F20" s="12" t="n"/>
      <x:c r="G20" s="7" t="n"/>
      <x:c r="H20" s="7" t="n"/>
      <x:c r="I20" s="12" t="n"/>
      <x:c r="J20" s="7" t="n"/>
      <x:c r="K20" s="7" t="n"/>
    </x:row>
    <x:row r="21">
      <x:c r="A21" s="7" t="n"/>
      <x:c r="B21" s="7" t="n"/>
      <x:c r="C21" s="7" t="n"/>
      <x:c r="D21" s="7" t="n"/>
      <x:c r="E21" s="7" t="n"/>
      <x:c r="F21" s="12" t="n"/>
      <x:c r="G21" s="7" t="n"/>
      <x:c r="H21" s="7" t="n"/>
      <x:c r="I21" s="12" t="n"/>
      <x:c r="J21" s="7" t="n"/>
      <x:c r="K21" s="7" t="n"/>
    </x:row>
    <x:row r="22">
      <x:c r="A22" s="7" t="n"/>
      <x:c r="B22" s="7" t="n"/>
      <x:c r="C22" s="7" t="n"/>
      <x:c r="D22" s="7" t="n"/>
      <x:c r="E22" s="7" t="n"/>
      <x:c r="F22" s="12" t="n"/>
      <x:c r="G22" s="7" t="n"/>
      <x:c r="H22" s="7" t="n"/>
      <x:c r="I22" s="12" t="n"/>
      <x:c r="J22" s="7" t="n"/>
      <x:c r="K22" s="7" t="n"/>
    </x:row>
    <x:row r="23">
      <x:c r="A23" s="7" t="n"/>
      <x:c r="B23" s="7" t="n"/>
      <x:c r="C23" s="7" t="n"/>
      <x:c r="D23" s="7" t="n"/>
      <x:c r="E23" s="7" t="n"/>
      <x:c r="F23" s="12" t="n"/>
      <x:c r="G23" s="7" t="n"/>
      <x:c r="H23" s="7" t="n"/>
      <x:c r="I23" s="12" t="n"/>
      <x:c r="J23" s="7" t="n"/>
      <x:c r="K23" s="7" t="n"/>
    </x:row>
    <x:row r="24">
      <x:c r="A24" s="7" t="n"/>
      <x:c r="B24" s="7" t="n"/>
      <x:c r="C24" s="7" t="n"/>
      <x:c r="D24" s="7" t="n"/>
      <x:c r="E24" s="7" t="n"/>
      <x:c r="F24" s="12" t="n"/>
      <x:c r="G24" s="7" t="n"/>
      <x:c r="H24" s="7" t="n"/>
      <x:c r="I24" s="12" t="n"/>
      <x:c r="J24" s="7" t="n"/>
      <x:c r="K24" s="7" t="n"/>
    </x:row>
    <x:row r="25">
      <x:c r="A25" s="7" t="n"/>
      <x:c r="B25" s="7" t="n"/>
      <x:c r="C25" s="7" t="n"/>
      <x:c r="D25" s="7" t="n"/>
      <x:c r="E25" s="7" t="n"/>
      <x:c r="F25" s="12" t="n"/>
      <x:c r="G25" s="7" t="n"/>
      <x:c r="H25" s="7" t="n"/>
      <x:c r="I25" s="12" t="n"/>
      <x:c r="J25" s="7" t="n"/>
      <x:c r="K25" s="7" t="n"/>
    </x:row>
    <x:row r="26">
      <x:c r="A26" s="7" t="n"/>
      <x:c r="B26" s="7" t="n"/>
      <x:c r="C26" s="7" t="n"/>
      <x:c r="D26" s="7" t="n"/>
      <x:c r="E26" s="7" t="n"/>
      <x:c r="F26" s="12" t="n"/>
      <x:c r="G26" s="7" t="n"/>
      <x:c r="H26" s="7" t="n"/>
      <x:c r="I26" s="12" t="n"/>
      <x:c r="J26" s="7" t="n"/>
      <x:c r="K26" s="7" t="n"/>
    </x:row>
    <x:row r="27">
      <x:c r="A27" s="7" t="n"/>
      <x:c r="B27" s="7" t="n"/>
      <x:c r="C27" s="7" t="n"/>
      <x:c r="D27" s="7" t="n"/>
      <x:c r="E27" s="7" t="n"/>
      <x:c r="F27" s="12" t="n"/>
      <x:c r="G27" s="7" t="n"/>
      <x:c r="H27" s="7" t="n"/>
      <x:c r="I27" s="12" t="n"/>
      <x:c r="J27" s="7" t="n"/>
      <x:c r="K27" s="7" t="n"/>
    </x:row>
    <x:row r="28">
      <x:c r="A28" s="7" t="n"/>
      <x:c r="B28" s="7" t="n"/>
      <x:c r="C28" s="7" t="n"/>
      <x:c r="D28" s="7" t="n"/>
      <x:c r="E28" s="7" t="n"/>
      <x:c r="F28" s="12" t="n"/>
      <x:c r="G28" s="7" t="n"/>
      <x:c r="H28" s="7" t="n"/>
      <x:c r="I28" s="12" t="n"/>
      <x:c r="J28" s="7" t="n"/>
      <x:c r="K28" s="7" t="n"/>
    </x:row>
    <x:row r="29">
      <x:c r="A29" s="7" t="n"/>
      <x:c r="B29" s="7" t="n"/>
      <x:c r="C29" s="7" t="n"/>
      <x:c r="D29" s="7" t="n"/>
      <x:c r="E29" s="7" t="n"/>
      <x:c r="F29" s="12" t="n"/>
      <x:c r="G29" s="7" t="n"/>
      <x:c r="H29" s="7" t="n"/>
      <x:c r="I29" s="12" t="n"/>
      <x:c r="J29" s="7" t="n"/>
      <x:c r="K29" s="7" t="n"/>
    </x:row>
    <x:row r="30">
      <x:c r="A30" s="7" t="n"/>
      <x:c r="B30" s="7" t="n"/>
      <x:c r="C30" s="7" t="n"/>
      <x:c r="D30" s="7" t="n"/>
      <x:c r="E30" s="7" t="n"/>
      <x:c r="F30" s="12" t="n"/>
      <x:c r="G30" s="7" t="n"/>
      <x:c r="H30" s="7" t="n"/>
      <x:c r="I30" s="12" t="n"/>
      <x:c r="J30" s="7" t="n"/>
      <x:c r="K30" s="7" t="n"/>
    </x:row>
    <x:row r="31">
      <x:c r="A31" s="7" t="n"/>
      <x:c r="B31" s="7" t="n"/>
      <x:c r="C31" s="7" t="n"/>
      <x:c r="D31" s="7" t="n"/>
      <x:c r="E31" s="7" t="n"/>
      <x:c r="F31" s="12" t="n"/>
      <x:c r="G31" s="7" t="n"/>
      <x:c r="H31" s="7" t="n"/>
      <x:c r="I31" s="12" t="n"/>
      <x:c r="J31" s="7" t="n"/>
      <x:c r="K31" s="7" t="n"/>
    </x:row>
    <x:row r="32">
      <x:c r="A32" s="7" t="n"/>
      <x:c r="B32" s="7" t="n"/>
      <x:c r="C32" s="7" t="n"/>
      <x:c r="D32" s="7" t="n"/>
      <x:c r="E32" s="7" t="n"/>
      <x:c r="F32" s="12" t="n"/>
      <x:c r="G32" s="7" t="n"/>
      <x:c r="H32" s="7" t="n"/>
      <x:c r="I32" s="12" t="n"/>
      <x:c r="J32" s="7" t="n"/>
      <x:c r="K32" s="7" t="n"/>
    </x:row>
    <x:row r="33">
      <x:c r="A33" s="7" t="n"/>
      <x:c r="B33" s="7" t="n"/>
      <x:c r="C33" s="7" t="n"/>
      <x:c r="D33" s="7" t="n"/>
      <x:c r="E33" s="7" t="n"/>
      <x:c r="F33" s="12" t="n"/>
      <x:c r="G33" s="7" t="n"/>
      <x:c r="H33" s="7" t="n"/>
      <x:c r="I33" s="12" t="n"/>
      <x:c r="J33" s="7" t="n"/>
      <x:c r="K33" s="7" t="n"/>
    </x:row>
    <x:row r="34">
      <x:c r="A34" s="7" t="n"/>
      <x:c r="B34" s="7" t="n"/>
      <x:c r="C34" s="7" t="n"/>
      <x:c r="D34" s="7" t="n"/>
      <x:c r="E34" s="7" t="n"/>
      <x:c r="F34" s="12" t="n"/>
      <x:c r="G34" s="7" t="n"/>
      <x:c r="H34" s="7" t="n"/>
      <x:c r="I34" s="12" t="n"/>
      <x:c r="J34" s="7" t="n"/>
      <x:c r="K34" s="7" t="n"/>
    </x:row>
    <x:row r="35">
      <x:c r="A35" s="7" t="n"/>
      <x:c r="B35" s="7" t="n"/>
      <x:c r="C35" s="7" t="n"/>
      <x:c r="D35" s="7" t="n"/>
      <x:c r="E35" s="7" t="n"/>
      <x:c r="F35" s="12" t="n"/>
      <x:c r="G35" s="7" t="n"/>
      <x:c r="H35" s="7" t="n"/>
      <x:c r="I35" s="12" t="n"/>
      <x:c r="J35" s="7" t="n"/>
      <x:c r="K35" s="7" t="n"/>
    </x:row>
    <x:row r="36">
      <x:c r="A36" s="7" t="n"/>
      <x:c r="B36" s="7" t="n"/>
      <x:c r="C36" s="7" t="n"/>
      <x:c r="D36" s="7" t="n"/>
      <x:c r="E36" s="7" t="n"/>
      <x:c r="F36" s="12" t="n"/>
      <x:c r="G36" s="7" t="n"/>
      <x:c r="H36" s="7" t="n"/>
      <x:c r="I36" s="12" t="n"/>
      <x:c r="J36" s="7" t="n"/>
      <x:c r="K36" s="7" t="n"/>
    </x:row>
    <x:row r="37">
      <x:c r="A37" s="7" t="n"/>
      <x:c r="B37" s="7" t="n"/>
      <x:c r="C37" s="7" t="n"/>
      <x:c r="D37" s="7" t="n"/>
      <x:c r="E37" s="7" t="n"/>
      <x:c r="F37" s="12" t="n"/>
      <x:c r="G37" s="7" t="n"/>
      <x:c r="H37" s="7" t="n"/>
      <x:c r="I37" s="12" t="n"/>
      <x:c r="J37" s="7" t="n"/>
      <x:c r="K37" s="7" t="n"/>
    </x:row>
    <x:row r="38">
      <x:c r="A38" s="7" t="n"/>
      <x:c r="B38" s="7" t="n"/>
      <x:c r="C38" s="7" t="n"/>
      <x:c r="D38" s="7" t="n"/>
      <x:c r="E38" s="7" t="n"/>
      <x:c r="F38" s="12" t="n"/>
      <x:c r="G38" s="7" t="n"/>
      <x:c r="H38" s="7" t="n"/>
      <x:c r="I38" s="12" t="n"/>
      <x:c r="J38" s="7" t="n"/>
      <x:c r="K38" s="7" t="n"/>
    </x:row>
    <x:row r="39">
      <x:c r="A39" s="7" t="n"/>
      <x:c r="B39" s="7" t="n"/>
      <x:c r="C39" s="7" t="n"/>
      <x:c r="D39" s="7" t="n"/>
      <x:c r="E39" s="7" t="n"/>
      <x:c r="F39" s="12" t="n"/>
      <x:c r="G39" s="7" t="n"/>
      <x:c r="H39" s="7" t="n"/>
      <x:c r="I39" s="12" t="n"/>
      <x:c r="J39" s="7" t="n"/>
      <x:c r="K39" s="7" t="n"/>
    </x:row>
    <x:row r="40">
      <x:c r="A40" s="7" t="n"/>
      <x:c r="B40" s="7" t="n"/>
      <x:c r="C40" s="7" t="n"/>
      <x:c r="D40" s="7" t="n"/>
      <x:c r="E40" s="7" t="n"/>
      <x:c r="F40" s="12" t="n"/>
      <x:c r="G40" s="7" t="n"/>
      <x:c r="H40" s="7" t="n"/>
      <x:c r="I40" s="12" t="n"/>
      <x:c r="J40" s="7" t="n"/>
      <x:c r="K40" s="7" t="n"/>
    </x:row>
    <x:row r="41">
      <x:c r="A41" s="7" t="n"/>
      <x:c r="B41" s="7" t="n"/>
      <x:c r="C41" s="7" t="n"/>
      <x:c r="D41" s="7" t="n"/>
      <x:c r="E41" s="7" t="n"/>
      <x:c r="F41" s="12" t="n"/>
      <x:c r="G41" s="7" t="n"/>
      <x:c r="H41" s="7" t="n"/>
      <x:c r="I41" s="12" t="n"/>
      <x:c r="J41" s="7" t="n"/>
      <x:c r="K41" s="7" t="n"/>
    </x:row>
    <x:row r="42">
      <x:c r="A42" s="7" t="n"/>
      <x:c r="B42" s="7" t="n"/>
      <x:c r="C42" s="7" t="n"/>
      <x:c r="D42" s="7" t="n"/>
      <x:c r="E42" s="7" t="n"/>
      <x:c r="F42" s="12" t="n"/>
      <x:c r="G42" s="7" t="n"/>
      <x:c r="H42" s="7" t="n"/>
      <x:c r="I42" s="12" t="n"/>
      <x:c r="J42" s="7" t="n"/>
      <x:c r="K42" s="7" t="n"/>
    </x:row>
    <x:row r="43">
      <x:c r="A43" s="7" t="n"/>
      <x:c r="B43" s="7" t="n"/>
      <x:c r="C43" s="7" t="n"/>
      <x:c r="D43" s="7" t="n"/>
      <x:c r="E43" s="7" t="n"/>
      <x:c r="F43" s="12" t="n"/>
      <x:c r="G43" s="7" t="n"/>
      <x:c r="H43" s="7" t="n"/>
      <x:c r="I43" s="12" t="n"/>
      <x:c r="J43" s="7" t="n"/>
      <x:c r="K43" s="7" t="n"/>
    </x:row>
    <x:row r="44">
      <x:c r="A44" s="7" t="n"/>
      <x:c r="B44" s="7" t="n"/>
      <x:c r="C44" s="7" t="n"/>
      <x:c r="D44" s="7" t="n"/>
      <x:c r="E44" s="7" t="n"/>
      <x:c r="F44" s="12" t="n"/>
      <x:c r="G44" s="7" t="n"/>
      <x:c r="H44" s="7" t="n"/>
      <x:c r="I44" s="12" t="n"/>
      <x:c r="J44" s="7" t="n"/>
      <x:c r="K44" s="7" t="n"/>
    </x:row>
  </x:sheetData>
  <x:mergeCells>
    <x:mergeCell ref="A2:K2"/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58" customWidth="1"/>
    <x:col min="3" max="3" width="26" customWidth="1"/>
    <x:col min="4" max="4" width="26" customWidth="1"/>
    <x:col min="5" max="5" width="26" customWidth="1"/>
    <x:col min="6" max="6" width="22" customWidth="1"/>
    <x:col min="7" max="7" width="18" customWidth="1"/>
    <x:col min="8" max="8" width="18" customWidth="1"/>
  </x:cols>
  <x:sheetData>
    <x:row r="1" ht="26" customHeight="1">
      <x:c r="A1" s="1" t="inlineStr">
        <x:is>
          <x:t xml:space="preserve">99 – Matriz de Atendimento (RANP 44/2015 – Item 10: Desenquadramento / Falhas)</x:t>
        </x:is>
      </x:c>
    </x:row>
    <x:row r="2" ht="18" customHeight="1">
      <x:c r="A2" s="2" t="inlineStr">
        <x:is>
          <x:t xml:space="preserve">Matriz para auditoria interna/ANP: cada requisito do Item 10 está mapeado para a(s) aba(s)/campos deste relatório.</x:t>
        </x:is>
      </x:c>
    </x:row>
    <x:row r="4">
      <x:c r="A4" s="5" t="inlineStr">
        <x:is>
          <x:t xml:space="preserve">Item RANP</x:t>
        </x:is>
      </x:c>
      <x:c r="B4" s="5" t="inlineStr">
        <x:is>
          <x:t xml:space="preserve">Requisito (texto resumido)</x:t>
        </x:is>
      </x:c>
      <x:c r="C4" s="5" t="inlineStr">
        <x:is>
          <x:t xml:space="preserve">Onde preencher</x:t>
        </x:is>
      </x:c>
      <x:c r="D4" s="5" t="inlineStr">
        <x:is>
          <x:t xml:space="preserve">Campos-chave</x:t>
        </x:is>
      </x:c>
      <x:c r="E4" s="5" t="inlineStr">
        <x:is>
          <x:t xml:space="preserve">Evidência típica</x:t>
        </x:is>
      </x:c>
      <x:c r="F4" s="5" t="inlineStr">
        <x:is>
          <x:t xml:space="preserve">Status</x:t>
        </x:is>
      </x:c>
      <x:c r="G4" s="5" t="inlineStr">
        <x:is>
          <x:t xml:space="preserve">Responsável</x:t>
        </x:is>
      </x:c>
      <x:c r="H4" s="5" t="inlineStr">
        <x:is>
          <x:t xml:space="preserve">Data</x:t>
        </x:is>
      </x:c>
    </x:row>
    <x:row r="5">
      <x:c r="A5" s="6" t="inlineStr">
        <x:is>
          <x:t xml:space="preserve">10.1</x:t>
        </x:is>
      </x:c>
      <x:c r="B5" s="6" t="inlineStr">
        <x:is>
          <x:t xml:space="preserve">Propor plano de ação para desenquadramentos (aprovação ANP).</x:t>
        </x:is>
      </x:c>
      <x:c r="C5" s="6" t="inlineStr">
        <x:is>
          <x:t xml:space="preserve">Aba 01 (variáveis) + Aba 04 (CAPA)</x:t>
        </x:is>
      </x:c>
      <x:c r="D5" s="6" t="inlineStr">
        <x:is>
          <x:t xml:space="preserve">Variáveis + ações + prazos</x:t>
        </x:is>
      </x:c>
      <x:c r="E5" s="6" t="inlineStr">
        <x:is>
          <x:t xml:space="preserve">Plano de ação / registros</x:t>
        </x:is>
      </x:c>
      <x:c r="F5" s="9" t="inlineStr">
        <x:is>
          <x:t xml:space="preserve"/>
        </x:is>
      </x:c>
      <x:c r="G5" s="7" t="inlineStr">
        <x:is>
          <x:t xml:space="preserve"/>
        </x:is>
      </x:c>
      <x:c r="H5" s="12" t="inlineStr">
        <x:is>
          <x:t xml:space="preserve"/>
        </x:is>
      </x:c>
    </x:row>
    <x:row r="6">
      <x:c r="A6" s="6" t="inlineStr">
        <x:is>
          <x:t xml:space="preserve">10.1.1</x:t>
        </x:is>
      </x:c>
      <x:c r="B6" s="6" t="inlineStr">
        <x:is>
          <x:t xml:space="preserve">Observar requisitos ANP sobre notificação de falhas/falhas presumidas.</x:t>
        </x:is>
      </x:c>
      <x:c r="C6" s="6" t="inlineStr">
        <x:is>
          <x:t xml:space="preserve">Aba 01</x:t>
        </x:is>
      </x:c>
      <x:c r="D6" s="6" t="inlineStr">
        <x:is>
          <x:t xml:space="preserve">Protocolo/SEI de notificação</x:t>
        </x:is>
      </x:c>
      <x:c r="E6" s="6" t="inlineStr">
        <x:is>
          <x:t xml:space="preserve">Protocolo/SEI, e-mails</x:t>
        </x:is>
      </x:c>
      <x:c r="F6" s="9" t="inlineStr">
        <x:is>
          <x:t xml:space="preserve"/>
        </x:is>
      </x:c>
      <x:c r="G6" s="7" t="inlineStr">
        <x:is>
          <x:t xml:space="preserve"/>
        </x:is>
      </x:c>
      <x:c r="H6" s="12" t="inlineStr">
        <x:is>
          <x:t xml:space="preserve"/>
        </x:is>
      </x:c>
    </x:row>
    <x:row r="7">
      <x:c r="A7" s="6" t="inlineStr">
        <x:is>
          <x:t xml:space="preserve">10.2</x:t>
        </x:is>
      </x:c>
      <x:c r="B7" s="6" t="inlineStr">
        <x:is>
          <x:t xml:space="preserve">Plano de ação deve prever atividades por variável fora do limite do plano de verificação de desempenho.</x:t>
        </x:is>
      </x:c>
      <x:c r="C7" s="6" t="inlineStr">
        <x:is>
          <x:t xml:space="preserve">Aba 01 + Aba 02 + Aba 04</x:t>
        </x:is>
      </x:c>
      <x:c r="D7" s="6" t="inlineStr">
        <x:is>
          <x:t xml:space="preserve">Tabela variáveis + diário + CAPA</x:t>
        </x:is>
      </x:c>
      <x:c r="E7" s="6" t="inlineStr">
        <x:is>
          <x:t xml:space="preserve">Trends, cálculos, logs</x:t>
        </x:is>
      </x:c>
      <x:c r="F7" s="9" t="inlineStr">
        <x:is>
          <x:t xml:space="preserve"/>
        </x:is>
      </x:c>
      <x:c r="G7" s="7" t="inlineStr">
        <x:is>
          <x:t xml:space="preserve"/>
        </x:is>
      </x:c>
      <x:c r="H7" s="12" t="inlineStr">
        <x:is>
          <x:t xml:space="preserve"/>
        </x:is>
      </x:c>
    </x:row>
    <x:row r="8">
      <x:c r="A8" s="6" t="inlineStr">
        <x:is>
          <x:t xml:space="preserve">10.3</x:t>
        </x:is>
      </x:c>
      <x:c r="B8" s="6" t="inlineStr">
        <x:is>
          <x:t xml:space="preserve">Prazo máximo investigação: 30 dias (emitir relatório final).</x:t>
        </x:is>
      </x:c>
      <x:c r="C8" s="6" t="inlineStr">
        <x:is>
          <x:t xml:space="preserve">Aba 04 / Aba 05</x:t>
        </x:is>
      </x:c>
      <x:c r="D8" s="6" t="inlineStr">
        <x:is>
          <x:t xml:space="preserve">Prazos automáticos</x:t>
        </x:is>
      </x:c>
      <x:c r="E8" s="6" t="inlineStr">
        <x:is>
          <x:t xml:space="preserve">Resumo de prazos</x:t>
        </x:is>
      </x:c>
      <x:c r="F8" s="9" t="inlineStr">
        <x:is>
          <x:t xml:space="preserve"/>
        </x:is>
      </x:c>
      <x:c r="G8" s="7" t="inlineStr">
        <x:is>
          <x:t xml:space="preserve"/>
        </x:is>
      </x:c>
      <x:c r="H8" s="12" t="inlineStr">
        <x:is>
          <x:t xml:space="preserve"/>
        </x:is>
      </x:c>
    </x:row>
    <x:row r="9">
      <x:c r="A9" s="6" t="inlineStr">
        <x:is>
          <x:t xml:space="preserve">10.3.1</x:t>
        </x:is>
      </x:c>
      <x:c r="B9" s="6" t="inlineStr">
        <x:is>
          <x:t xml:space="preserve">Se requer retirada/substituição e envio ao fabricante, relatório parcial pode ser enviado em até 30 dias.</x:t>
        </x:is>
      </x:c>
      <x:c r="C9" s="6" t="inlineStr">
        <x:is>
          <x:t xml:space="preserve">Aba 04</x:t>
        </x:is>
      </x:c>
      <x:c r="D9" s="6" t="inlineStr">
        <x:is>
          <x:t xml:space="preserve">Data envio/recebimento vendor</x:t>
        </x:is>
      </x:c>
      <x:c r="E9" s="6" t="inlineStr">
        <x:is>
          <x:t xml:space="preserve">Relatório fabricante</x:t>
        </x:is>
      </x:c>
      <x:c r="F9" s="9" t="inlineStr">
        <x:is>
          <x:t xml:space="preserve"/>
        </x:is>
      </x:c>
      <x:c r="G9" s="7" t="inlineStr">
        <x:is>
          <x:t xml:space="preserve"/>
        </x:is>
      </x:c>
      <x:c r="H9" s="12" t="inlineStr">
        <x:is>
          <x:t xml:space="preserve"/>
        </x:is>
      </x:c>
    </x:row>
    <x:row r="10">
      <x:c r="A10" s="6" t="inlineStr">
        <x:is>
          <x:t xml:space="preserve">10.3.2</x:t>
        </x:is>
      </x:c>
      <x:c r="B10" s="6" t="inlineStr">
        <x:is>
          <x:t xml:space="preserve">Enviar relatório final em até 30 dias após recebimento do relatório final do fabricante.</x:t>
        </x:is>
      </x:c>
      <x:c r="C10" s="6" t="inlineStr">
        <x:is>
          <x:t xml:space="preserve">Aba 04 / Aba 05</x:t>
        </x:is>
      </x:c>
      <x:c r="D10" s="6" t="inlineStr">
        <x:is>
          <x:t xml:space="preserve">Prazo pós-fabricante (auto)</x:t>
        </x:is>
      </x:c>
      <x:c r="E10" s="6" t="inlineStr">
        <x:is>
          <x:t xml:space="preserve">Report vendor + protocolo</x:t>
        </x:is>
      </x:c>
      <x:c r="F10" s="9" t="inlineStr">
        <x:is>
          <x:t xml:space="preserve"/>
        </x:is>
      </x:c>
      <x:c r="G10" s="7" t="inlineStr">
        <x:is>
          <x:t xml:space="preserve"/>
        </x:is>
      </x:c>
      <x:c r="H10" s="12" t="inlineStr">
        <x:is>
          <x:t xml:space="preserve"/>
        </x:is>
      </x:c>
    </x:row>
    <x:row r="11">
      <x:c r="A11" s="6" t="inlineStr">
        <x:is>
          <x:t xml:space="preserve">10.4</x:t>
        </x:is>
      </x:c>
      <x:c r="B11" s="6" t="inlineStr">
        <x:is>
          <x:t xml:space="preserve">Prever relatórios parciais a cada 10 dias.</x:t>
        </x:is>
      </x:c>
      <x:c r="C11" s="6" t="inlineStr">
        <x:is>
          <x:t xml:space="preserve">Aba 02 + Aba 05</x:t>
        </x:is>
      </x:c>
      <x:c r="D11" s="6" t="inlineStr">
        <x:is>
          <x:t xml:space="preserve">D+ e prazos (auto)</x:t>
        </x:is>
      </x:c>
      <x:c r="E11" s="6" t="inlineStr">
        <x:is>
          <x:t xml:space="preserve">PDFs parciais</x:t>
        </x:is>
      </x:c>
      <x:c r="F11" s="9" t="inlineStr">
        <x:is>
          <x:t xml:space="preserve"/>
        </x:is>
      </x:c>
      <x:c r="G11" s="7" t="inlineStr">
        <x:is>
          <x:t xml:space="preserve"/>
        </x:is>
      </x:c>
      <x:c r="H11" s="12" t="inlineStr">
        <x:is>
          <x:t xml:space="preserve"/>
        </x:is>
      </x:c>
    </x:row>
    <x:row r="12">
      <x:c r="A12" s="6" t="inlineStr">
        <x:is>
          <x:t xml:space="preserve">10.4.1(a)</x:t>
        </x:is>
      </x:c>
      <x:c r="B12" s="6" t="inlineStr">
        <x:is>
          <x:t xml:space="preserve">Nome do agente regulado.</x:t>
        </x:is>
      </x:c>
      <x:c r="C12" s="6" t="inlineStr">
        <x:is>
          <x:t xml:space="preserve">Aba 01</x:t>
        </x:is>
      </x:c>
      <x:c r="D12" s="6" t="inlineStr">
        <x:is>
          <x:t xml:space="preserve">Agente regulado</x:t>
        </x:is>
      </x:c>
      <x:c r="E12" s="6" t="inlineStr">
        <x:is>
          <x:t xml:space="preserve">Carta/relatório</x:t>
        </x:is>
      </x:c>
      <x:c r="F12" s="9" t="inlineStr">
        <x:is>
          <x:t xml:space="preserve"/>
        </x:is>
      </x:c>
      <x:c r="G12" s="7" t="inlineStr">
        <x:is>
          <x:t xml:space="preserve"/>
        </x:is>
      </x:c>
      <x:c r="H12" s="12" t="inlineStr">
        <x:is>
          <x:t xml:space="preserve"/>
        </x:is>
      </x:c>
    </x:row>
    <x:row r="13">
      <x:c r="A13" s="6" t="inlineStr">
        <x:is>
          <x:t xml:space="preserve">10.4.1(b)</x:t>
        </x:is>
      </x:c>
      <x:c r="B13" s="6" t="inlineStr">
        <x:is>
          <x:t xml:space="preserve">Identificação da bacia.</x:t>
        </x:is>
      </x:c>
      <x:c r="C13" s="6" t="inlineStr">
        <x:is>
          <x:t xml:space="preserve">Aba 01</x:t>
        </x:is>
      </x:c>
      <x:c r="D13" s="6" t="inlineStr">
        <x:is>
          <x:t xml:space="preserve">Bacia</x:t>
        </x:is>
      </x:c>
      <x:c r="E13" s="6" t="inlineStr">
        <x:is>
          <x:t xml:space="preserve">Carta/relatório</x:t>
        </x:is>
      </x:c>
      <x:c r="F13" s="9" t="inlineStr">
        <x:is>
          <x:t xml:space="preserve"/>
        </x:is>
      </x:c>
      <x:c r="G13" s="7" t="inlineStr">
        <x:is>
          <x:t xml:space="preserve"/>
        </x:is>
      </x:c>
      <x:c r="H13" s="12" t="inlineStr">
        <x:is>
          <x:t xml:space="preserve"/>
        </x:is>
      </x:c>
    </x:row>
    <x:row r="14">
      <x:c r="A14" s="6" t="inlineStr">
        <x:is>
          <x:t xml:space="preserve">10.4.1(c)</x:t>
        </x:is>
      </x:c>
      <x:c r="B14" s="6" t="inlineStr">
        <x:is>
          <x:t xml:space="preserve">Identificação do campo.</x:t>
        </x:is>
      </x:c>
      <x:c r="C14" s="6" t="inlineStr">
        <x:is>
          <x:t xml:space="preserve">Aba 01</x:t>
        </x:is>
      </x:c>
      <x:c r="D14" s="6" t="inlineStr">
        <x:is>
          <x:t xml:space="preserve">Campo</x:t>
        </x:is>
      </x:c>
      <x:c r="E14" s="6" t="inlineStr">
        <x:is>
          <x:t xml:space="preserve">Carta/relatório</x:t>
        </x:is>
      </x:c>
      <x:c r="F14" s="9" t="inlineStr">
        <x:is>
          <x:t xml:space="preserve"/>
        </x:is>
      </x:c>
      <x:c r="G14" s="7" t="inlineStr">
        <x:is>
          <x:t xml:space="preserve"/>
        </x:is>
      </x:c>
      <x:c r="H14" s="12" t="inlineStr">
        <x:is>
          <x:t xml:space="preserve"/>
        </x:is>
      </x:c>
    </x:row>
    <x:row r="15">
      <x:c r="A15" s="6" t="inlineStr">
        <x:is>
          <x:t xml:space="preserve">10.4.1(d)</x:t>
        </x:is>
      </x:c>
      <x:c r="B15" s="6" t="inlineStr">
        <x:is>
          <x:t xml:space="preserve">Identificação da instalação.</x:t>
        </x:is>
      </x:c>
      <x:c r="C15" s="6" t="inlineStr">
        <x:is>
          <x:t xml:space="preserve">Aba 01</x:t>
        </x:is>
      </x:c>
      <x:c r="D15" s="6" t="inlineStr">
        <x:is>
          <x:t xml:space="preserve">Instalação</x:t>
        </x:is>
      </x:c>
      <x:c r="E15" s="6" t="inlineStr">
        <x:is>
          <x:t xml:space="preserve">Carta/relatório</x:t>
        </x:is>
      </x:c>
      <x:c r="F15" s="9" t="inlineStr">
        <x:is>
          <x:t xml:space="preserve"/>
        </x:is>
      </x:c>
      <x:c r="G15" s="7" t="inlineStr">
        <x:is>
          <x:t xml:space="preserve"/>
        </x:is>
      </x:c>
      <x:c r="H15" s="12" t="inlineStr">
        <x:is>
          <x:t xml:space="preserve"/>
        </x:is>
      </x:c>
    </x:row>
    <x:row r="16">
      <x:c r="A16" s="6" t="inlineStr">
        <x:is>
          <x:t xml:space="preserve">10.4.1(e)</x:t>
        </x:is>
      </x:c>
      <x:c r="B16" s="6" t="inlineStr">
        <x:is>
          <x:t xml:space="preserve">Identificação do medidor/sistema/equipamento em falha.</x:t>
        </x:is>
      </x:c>
      <x:c r="C16" s="6" t="inlineStr">
        <x:is>
          <x:t xml:space="preserve">Aba 01</x:t>
        </x:is>
      </x:c>
      <x:c r="D16" s="6" t="inlineStr">
        <x:is>
          <x:t xml:space="preserve">TAG + sistema associado</x:t>
        </x:is>
      </x:c>
      <x:c r="E16" s="6" t="inlineStr">
        <x:is>
          <x:t xml:space="preserve">Logs, IDS</x:t>
        </x:is>
      </x:c>
      <x:c r="F16" s="9" t="inlineStr">
        <x:is>
          <x:t xml:space="preserve"/>
        </x:is>
      </x:c>
      <x:c r="G16" s="7" t="inlineStr">
        <x:is>
          <x:t xml:space="preserve"/>
        </x:is>
      </x:c>
      <x:c r="H16" s="12" t="inlineStr">
        <x:is>
          <x:t xml:space="preserve"/>
        </x:is>
      </x:c>
    </x:row>
    <x:row r="17">
      <x:c r="A17" s="6" t="inlineStr">
        <x:is>
          <x:t xml:space="preserve">10.4.1(f)</x:t>
        </x:is>
      </x:c>
      <x:c r="B17" s="6" t="inlineStr">
        <x:is>
          <x:t xml:space="preserve">Condições de operação antes do evento (GVF, salinidade, BSW, vazões, P, T).</x:t>
        </x:is>
      </x:c>
      <x:c r="C17" s="6" t="inlineStr">
        <x:is>
          <x:t xml:space="preserve">Aba 01</x:t>
        </x:is>
      </x:c>
      <x:c r="D17" s="6" t="inlineStr">
        <x:is>
          <x:t xml:space="preserve">Tabela condições</x:t>
        </x:is>
      </x:c>
      <x:c r="E17" s="6" t="inlineStr">
        <x:is>
          <x:t xml:space="preserve">PI trends</x:t>
        </x:is>
      </x:c>
      <x:c r="F17" s="9" t="inlineStr">
        <x:is>
          <x:t xml:space="preserve"/>
        </x:is>
      </x:c>
      <x:c r="G17" s="7" t="inlineStr">
        <x:is>
          <x:t xml:space="preserve"/>
        </x:is>
      </x:c>
      <x:c r="H17" s="12" t="inlineStr">
        <x:is>
          <x:t xml:space="preserve"/>
        </x:is>
      </x:c>
    </x:row>
    <x:row r="18">
      <x:c r="A18" s="6" t="inlineStr">
        <x:is>
          <x:t xml:space="preserve">10.4.1(g)</x:t>
        </x:is>
      </x:c>
      <x:c r="B18" s="6" t="inlineStr">
        <x:is>
          <x:t xml:space="preserve">Data da ocorrência.</x:t>
        </x:is>
      </x:c>
      <x:c r="C18" s="6" t="inlineStr">
        <x:is>
          <x:t xml:space="preserve">Aba 01</x:t>
        </x:is>
      </x:c>
      <x:c r="D18" s="6" t="inlineStr">
        <x:is>
          <x:t xml:space="preserve">Data ocorrência</x:t>
        </x:is>
      </x:c>
      <x:c r="E18" s="6" t="inlineStr">
        <x:is>
          <x:t xml:space="preserve">Log/alarme</x:t>
        </x:is>
      </x:c>
      <x:c r="F18" s="9" t="inlineStr">
        <x:is>
          <x:t xml:space="preserve"/>
        </x:is>
      </x:c>
      <x:c r="G18" s="7" t="inlineStr">
        <x:is>
          <x:t xml:space="preserve"/>
        </x:is>
      </x:c>
      <x:c r="H18" s="12" t="inlineStr">
        <x:is>
          <x:t xml:space="preserve"/>
        </x:is>
      </x:c>
    </x:row>
    <x:row r="19">
      <x:c r="A19" s="6" t="inlineStr">
        <x:is>
          <x:t xml:space="preserve">10.4.1(h)</x:t>
        </x:is>
      </x:c>
      <x:c r="B19" s="6" t="inlineStr">
        <x:is>
          <x:t xml:space="preserve">Data de detecção.</x:t>
        </x:is>
      </x:c>
      <x:c r="C19" s="6" t="inlineStr">
        <x:is>
          <x:t xml:space="preserve">Aba 01</x:t>
        </x:is>
      </x:c>
      <x:c r="D19" s="6" t="inlineStr">
        <x:is>
          <x:t xml:space="preserve">Data detecção</x:t>
        </x:is>
      </x:c>
      <x:c r="E19" s="6" t="inlineStr">
        <x:is>
          <x:t xml:space="preserve">Alarme/relatório</x:t>
        </x:is>
      </x:c>
      <x:c r="F19" s="9" t="inlineStr">
        <x:is>
          <x:t xml:space="preserve"/>
        </x:is>
      </x:c>
      <x:c r="G19" s="7" t="inlineStr">
        <x:is>
          <x:t xml:space="preserve"/>
        </x:is>
      </x:c>
      <x:c r="H19" s="12" t="inlineStr">
        <x:is>
          <x:t xml:space="preserve"/>
        </x:is>
      </x:c>
    </x:row>
    <x:row r="20">
      <x:c r="A20" s="6" t="inlineStr">
        <x:is>
          <x:t xml:space="preserve">10.4.1(i)</x:t>
        </x:is>
      </x:c>
      <x:c r="B20" s="6" t="inlineStr">
        <x:is>
          <x:t xml:space="preserve">Data do relatório.</x:t>
        </x:is>
      </x:c>
      <x:c r="C20" s="6" t="inlineStr">
        <x:is>
          <x:t xml:space="preserve">Aba 01</x:t>
        </x:is>
      </x:c>
      <x:c r="D20" s="6" t="inlineStr">
        <x:is>
          <x:t xml:space="preserve">Data relatório</x:t>
        </x:is>
      </x:c>
      <x:c r="E20" s="6" t="inlineStr">
        <x:is>
          <x:t xml:space="preserve">Capa/assinatura</x:t>
        </x:is>
      </x:c>
      <x:c r="F20" s="9" t="inlineStr">
        <x:is>
          <x:t xml:space="preserve"/>
        </x:is>
      </x:c>
      <x:c r="G20" s="7" t="inlineStr">
        <x:is>
          <x:t xml:space="preserve"/>
        </x:is>
      </x:c>
      <x:c r="H20" s="12" t="inlineStr">
        <x:is>
          <x:t xml:space="preserve"/>
        </x:is>
      </x:c>
    </x:row>
    <x:row r="21">
      <x:c r="A21" s="6" t="inlineStr">
        <x:is>
          <x:t xml:space="preserve">10.4.1(j)</x:t>
        </x:is>
      </x:c>
      <x:c r="B21" s="6" t="inlineStr">
        <x:is>
          <x:t xml:space="preserve">Breve descrição do evento.</x:t>
        </x:is>
      </x:c>
      <x:c r="C21" s="6" t="inlineStr">
        <x:is>
          <x:t xml:space="preserve">Aba 03</x:t>
        </x:is>
      </x:c>
      <x:c r="D21" s="6" t="inlineStr">
        <x:is>
          <x:t xml:space="preserve">Descrição</x:t>
        </x:is>
      </x:c>
      <x:c r="E21" s="6" t="inlineStr">
        <x:is>
          <x:t xml:space="preserve">Resumo técnico</x:t>
        </x:is>
      </x:c>
      <x:c r="F21" s="9" t="inlineStr">
        <x:is>
          <x:t xml:space="preserve"/>
        </x:is>
      </x:c>
      <x:c r="G21" s="7" t="inlineStr">
        <x:is>
          <x:t xml:space="preserve"/>
        </x:is>
      </x:c>
      <x:c r="H21" s="12" t="inlineStr">
        <x:is>
          <x:t xml:space="preserve"/>
        </x:is>
      </x:c>
    </x:row>
    <x:row r="22">
      <x:c r="A22" s="6" t="inlineStr">
        <x:is>
          <x:t xml:space="preserve">10.4.1(k)</x:t>
        </x:is>
      </x:c>
      <x:c r="B22" s="6" t="inlineStr">
        <x:is>
          <x:t xml:space="preserve">Causa provável do evento.</x:t>
        </x:is>
      </x:c>
      <x:c r="C22" s="6" t="inlineStr">
        <x:is>
          <x:t xml:space="preserve">Aba 03</x:t>
        </x:is>
      </x:c>
      <x:c r="D22" s="6" t="inlineStr">
        <x:is>
          <x:t xml:space="preserve">Checklist causa provável</x:t>
        </x:is>
      </x:c>
      <x:c r="E22" s="6" t="inlineStr">
        <x:is>
          <x:t xml:space="preserve">Evidências mínimas</x:t>
        </x:is>
      </x:c>
      <x:c r="F22" s="9" t="inlineStr">
        <x:is>
          <x:t xml:space="preserve"/>
        </x:is>
      </x:c>
      <x:c r="G22" s="7" t="inlineStr">
        <x:is>
          <x:t xml:space="preserve"/>
        </x:is>
      </x:c>
      <x:c r="H22" s="12" t="inlineStr">
        <x:is>
          <x:t xml:space="preserve"/>
        </x:is>
      </x:c>
    </x:row>
    <x:row r="23">
      <x:c r="A23" s="6" t="inlineStr">
        <x:is>
          <x:t xml:space="preserve">10.4.1(l)</x:t>
        </x:is>
      </x:c>
      <x:c r="B23" s="6" t="inlineStr">
        <x:is>
          <x:t xml:space="preserve">Acionamento (ou não) do plano de contingência.</x:t>
        </x:is>
      </x:c>
      <x:c r="C23" s="6" t="inlineStr">
        <x:is>
          <x:t xml:space="preserve">Aba 04</x:t>
        </x:is>
      </x:c>
      <x:c r="D23" s="6" t="inlineStr">
        <x:is>
          <x:t xml:space="preserve">Status contingência</x:t>
        </x:is>
      </x:c>
      <x:c r="E23" s="6" t="inlineStr">
        <x:is>
          <x:t xml:space="preserve">Plano contingência</x:t>
        </x:is>
      </x:c>
      <x:c r="F23" s="9" t="inlineStr">
        <x:is>
          <x:t xml:space="preserve"/>
        </x:is>
      </x:c>
      <x:c r="G23" s="7" t="inlineStr">
        <x:is>
          <x:t xml:space="preserve"/>
        </x:is>
      </x:c>
      <x:c r="H23" s="12" t="inlineStr">
        <x:is>
          <x:t xml:space="preserve"/>
        </x:is>
      </x:c>
    </x:row>
    <x:row r="24">
      <x:c r="A24" s="6" t="inlineStr">
        <x:is>
          <x:t xml:space="preserve">10.4.1(m)</x:t>
        </x:is>
      </x:c>
      <x:c r="B24" s="6" t="inlineStr">
        <x:is>
          <x:t xml:space="preserve">Medidas adotadas até a emissão do relatório parcial.</x:t>
        </x:is>
      </x:c>
      <x:c r="C24" s="6" t="inlineStr">
        <x:is>
          <x:t xml:space="preserve">Aba 03 / Aba 02</x:t>
        </x:is>
      </x:c>
      <x:c r="D24" s="6" t="inlineStr">
        <x:is>
          <x:t xml:space="preserve">Medidas adotadas</x:t>
        </x:is>
      </x:c>
      <x:c r="E24" s="6" t="inlineStr">
        <x:is>
          <x:t xml:space="preserve">Diário/atas</x:t>
        </x:is>
      </x:c>
      <x:c r="F24" s="9" t="inlineStr">
        <x:is>
          <x:t xml:space="preserve"/>
        </x:is>
      </x:c>
      <x:c r="G24" s="7" t="inlineStr">
        <x:is>
          <x:t xml:space="preserve"/>
        </x:is>
      </x:c>
      <x:c r="H24" s="12" t="inlineStr">
        <x:is>
          <x:t xml:space="preserve"/>
        </x:is>
      </x:c>
    </x:row>
    <x:row r="25">
      <x:c r="A25" s="6" t="inlineStr">
        <x:is>
          <x:t xml:space="preserve">10.4.1(n)</x:t>
        </x:is>
      </x:c>
      <x:c r="B25" s="6" t="inlineStr">
        <x:is>
          <x:t xml:space="preserve">Observações e informações complementares.</x:t>
        </x:is>
      </x:c>
      <x:c r="C25" s="6" t="inlineStr">
        <x:is>
          <x:t xml:space="preserve">Aba 03</x:t>
        </x:is>
      </x:c>
      <x:c r="D25" s="6" t="inlineStr">
        <x:is>
          <x:t xml:space="preserve">Observações</x:t>
        </x:is>
      </x:c>
      <x:c r="E25" s="6" t="inlineStr">
        <x:is>
          <x:t xml:space="preserve">Notas/anexos</x:t>
        </x:is>
      </x:c>
      <x:c r="F25" s="9" t="inlineStr">
        <x:is>
          <x:t xml:space="preserve"/>
        </x:is>
      </x:c>
      <x:c r="G25" s="7" t="inlineStr">
        <x:is>
          <x:t xml:space="preserve"/>
        </x:is>
      </x:c>
      <x:c r="H25" s="12" t="inlineStr">
        <x:is>
          <x:t xml:space="preserve"/>
        </x:is>
      </x:c>
    </x:row>
    <x:row r="26">
      <x:c r="A26" s="6" t="inlineStr">
        <x:is>
          <x:t xml:space="preserve">10.4.1(o)</x:t>
        </x:is>
      </x:c>
      <x:c r="B26" s="6" t="inlineStr">
        <x:is>
          <x:t xml:space="preserve">Identificação do(s) responsável(is) pelo relatório.</x:t>
        </x:is>
      </x:c>
      <x:c r="C26" s="6" t="inlineStr">
        <x:is>
          <x:t xml:space="preserve">Aba 01</x:t>
        </x:is>
      </x:c>
      <x:c r="D26" s="6" t="inlineStr">
        <x:is>
          <x:t xml:space="preserve">Responsável técnico</x:t>
        </x:is>
      </x:c>
      <x:c r="E26" s="6" t="inlineStr">
        <x:is>
          <x:t xml:space="preserve">Assinatura</x:t>
        </x:is>
      </x:c>
      <x:c r="F26" s="9" t="inlineStr">
        <x:is>
          <x:t xml:space="preserve"/>
        </x:is>
      </x:c>
      <x:c r="G26" s="7" t="inlineStr">
        <x:is>
          <x:t xml:space="preserve"/>
        </x:is>
      </x:c>
      <x:c r="H26" s="12" t="inlineStr">
        <x:is>
          <x:t xml:space="preserve"/>
        </x:is>
      </x:c>
    </x:row>
    <x:row r="27">
      <x:c r="A27" s="6" t="inlineStr">
        <x:is>
          <x:t xml:space="preserve">10.4.2</x:t>
        </x:is>
      </x:c>
      <x:c r="B27" s="6" t="inlineStr">
        <x:is>
          <x:t xml:space="preserve">Relatório final deve conter itens a–t.</x:t>
        </x:is>
      </x:c>
      <x:c r="C27" s="6" t="inlineStr">
        <x:is>
          <x:t xml:space="preserve">Aba 05</x:t>
        </x:is>
      </x:c>
      <x:c r="D27" s="6" t="inlineStr">
        <x:is>
          <x:t xml:space="preserve">Checklist de conformidade</x:t>
        </x:is>
      </x:c>
      <x:c r="E27" s="6" t="inlineStr">
        <x:is>
          <x:t xml:space="preserve">PDF final</x:t>
        </x:is>
      </x:c>
      <x:c r="F27" s="9" t="inlineStr">
        <x:is>
          <x:t xml:space="preserve"/>
        </x:is>
      </x:c>
      <x:c r="G27" s="7" t="inlineStr">
        <x:is>
          <x:t xml:space="preserve"/>
        </x:is>
      </x:c>
      <x:c r="H27" s="12" t="inlineStr">
        <x:is>
          <x:t xml:space="preserve"/>
        </x:is>
      </x:c>
    </x:row>
    <x:row r="28">
      <x:c r="A28" s="6" t="inlineStr">
        <x:is>
          <x:t xml:space="preserve">10.5</x:t>
        </x:is>
      </x:c>
      <x:c r="B28" s="6" t="inlineStr">
        <x:is>
          <x:t xml:space="preserve">Propor plano de contingência (aplicável durante indisponibilidade).</x:t>
        </x:is>
      </x:c>
      <x:c r="C28" s="6" t="inlineStr">
        <x:is>
          <x:t xml:space="preserve">Aba 04</x:t>
        </x:is>
      </x:c>
      <x:c r="D28" s="6" t="inlineStr">
        <x:is>
          <x:t xml:space="preserve">Status + metodologia</x:t>
        </x:is>
      </x:c>
      <x:c r="E28" s="6" t="inlineStr">
        <x:is>
          <x:t xml:space="preserve">Anexo 6 / plano</x:t>
        </x:is>
      </x:c>
      <x:c r="F28" s="9" t="inlineStr">
        <x:is>
          <x:t xml:space="preserve"/>
        </x:is>
      </x:c>
      <x:c r="G28" s="7" t="inlineStr">
        <x:is>
          <x:t xml:space="preserve"/>
        </x:is>
      </x:c>
      <x:c r="H28" s="12" t="inlineStr">
        <x:is>
          <x:t xml:space="preserve"/>
        </x:is>
      </x:c>
    </x:row>
    <x:row r="29">
      <x:c r="A29" s="6" t="inlineStr">
        <x:is>
          <x:t xml:space="preserve">10.6</x:t>
        </x:is>
      </x:c>
      <x:c r="B29" s="6" t="inlineStr">
        <x:is>
          <x:t xml:space="preserve">Plano de contingência deve prever metodologia para potenciais (produção) durante indisponibilidade.</x:t>
        </x:is>
      </x:c>
      <x:c r="C29" s="6" t="inlineStr">
        <x:is>
          <x:t xml:space="preserve">Aba 04</x:t>
        </x:is>
      </x:c>
      <x:c r="D29" s="6" t="inlineStr">
        <x:is>
          <x:t xml:space="preserve">Mitigação + metodologia</x:t>
        </x:is>
      </x:c>
      <x:c r="E29" s="6" t="inlineStr">
        <x:is>
          <x:t xml:space="preserve">Procedimento</x:t>
        </x:is>
      </x:c>
      <x:c r="F29" s="9" t="inlineStr">
        <x:is>
          <x:t xml:space="preserve"/>
        </x:is>
      </x:c>
      <x:c r="G29" s="7" t="inlineStr">
        <x:is>
          <x:t xml:space="preserve"/>
        </x:is>
      </x:c>
      <x:c r="H29" s="12" t="inlineStr">
        <x:is>
          <x:t xml:space="preserve"/>
        </x:is>
      </x:c>
    </x:row>
    <x:row r="30">
      <x:c r="A30" s="6" t="inlineStr">
        <x:is>
          <x:t xml:space="preserve">10.7.1</x:t>
        </x:is>
      </x:c>
      <x:c r="B30" s="6" t="inlineStr">
        <x:is>
          <x:t xml:space="preserve">Subsea: substituir/reparar em até 120 dias após relatório final.</x:t>
        </x:is>
      </x:c>
      <x:c r="C30" s="6" t="inlineStr">
        <x:is>
          <x:t xml:space="preserve">Aba 04 / Aba 05</x:t>
        </x:is>
      </x:c>
      <x:c r="D30" s="6" t="inlineStr">
        <x:is>
          <x:t xml:space="preserve">Prazo auto (120d)</x:t>
        </x:is>
      </x:c>
      <x:c r="E30" s="6" t="inlineStr">
        <x:is>
          <x:t xml:space="preserve">OS/intervenção</x:t>
        </x:is>
      </x:c>
      <x:c r="F30" s="9" t="inlineStr">
        <x:is>
          <x:t xml:space="preserve"/>
        </x:is>
      </x:c>
      <x:c r="G30" s="7" t="inlineStr">
        <x:is>
          <x:t xml:space="preserve"/>
        </x:is>
      </x:c>
      <x:c r="H30" s="12" t="inlineStr">
        <x:is>
          <x:t xml:space="preserve"/>
        </x:is>
      </x:c>
    </x:row>
    <x:row r="31">
      <x:c r="A31" s="6" t="inlineStr">
        <x:is>
          <x:t xml:space="preserve">10.7.2</x:t>
        </x:is>
      </x:c>
      <x:c r="B31" s="6" t="inlineStr">
        <x:is>
          <x:t xml:space="preserve">Superfície: substituir/reparar em até 60 dias após relatório final.</x:t>
        </x:is>
      </x:c>
      <x:c r="C31" s="6" t="inlineStr">
        <x:is>
          <x:t xml:space="preserve">Aba 04 / Aba 05</x:t>
        </x:is>
      </x:c>
      <x:c r="D31" s="6" t="inlineStr">
        <x:is>
          <x:t xml:space="preserve">Prazo auto (60d)</x:t>
        </x:is>
      </x:c>
      <x:c r="E31" s="6" t="inlineStr">
        <x:is>
          <x:t xml:space="preserve">OS/manutenção</x:t>
        </x:is>
      </x:c>
      <x:c r="F31" s="9" t="inlineStr">
        <x:is>
          <x:t xml:space="preserve"/>
        </x:is>
      </x:c>
      <x:c r="G31" s="7" t="inlineStr">
        <x:is>
          <x:t xml:space="preserve"/>
        </x:is>
      </x:c>
      <x:c r="H31" s="12" t="inlineStr">
        <x:is>
          <x:t xml:space="preserve"/>
        </x:is>
      </x:c>
    </x:row>
    <x:row r="32">
      <x:c r="A32" s="6" t="inlineStr">
        <x:is>
          <x:t xml:space="preserve">10.7.3</x:t>
        </x:is>
      </x:c>
      <x:c r="B32" s="6" t="inlineStr">
        <x:is>
          <x:t xml:space="preserve">Prorrogação excepcional (caso 10.7.1): solicitar em até 60 dias; apresentar até 90 dias (após rel. final).</x:t>
        </x:is>
      </x:c>
      <x:c r="C32" s="6" t="inlineStr">
        <x:is>
          <x:t xml:space="preserve">Aba 04</x:t>
        </x:is>
      </x:c>
      <x:c r="D32" s="6" t="inlineStr">
        <x:is>
          <x:t xml:space="preserve">Prazos auto 60/90</x:t>
        </x:is>
      </x:c>
      <x:c r="E32" s="6" t="inlineStr">
        <x:is>
          <x:t xml:space="preserve">Plano de ação + justificativa</x:t>
        </x:is>
      </x:c>
      <x:c r="F32" s="9" t="inlineStr">
        <x:is>
          <x:t xml:space="preserve"/>
        </x:is>
      </x:c>
      <x:c r="G32" s="7" t="inlineStr">
        <x:is>
          <x:t xml:space="preserve"/>
        </x:is>
      </x:c>
      <x:c r="H32" s="12" t="inlineStr">
        <x:is>
          <x:t xml:space="preserve"/>
        </x:is>
      </x:c>
    </x:row>
    <x:row r="33">
      <x:c r="A33" s="6" t="inlineStr">
        <x:is>
          <x:t xml:space="preserve">10.7.4</x:t>
        </x:is>
      </x:c>
      <x:c r="B33" s="6" t="inlineStr">
        <x:is>
          <x:t xml:space="preserve">ANP pode autorizar precariamente com prazo e condicionantes.</x:t>
        </x:is>
      </x:c>
      <x:c r="C33" s="6" t="inlineStr">
        <x:is>
          <x:t xml:space="preserve">Aba 04</x:t>
        </x:is>
      </x:c>
      <x:c r="D33" s="6" t="inlineStr">
        <x:is>
          <x:t xml:space="preserve">Registro de autorização (se houver)</x:t>
        </x:is>
      </x:c>
      <x:c r="E33" s="6" t="inlineStr">
        <x:is>
          <x:t xml:space="preserve">Ofício ANP</x:t>
        </x:is>
      </x:c>
      <x:c r="F33" s="9" t="inlineStr">
        <x:is>
          <x:t xml:space="preserve"/>
        </x:is>
      </x:c>
      <x:c r="G33" s="7" t="inlineStr">
        <x:is>
          <x:t xml:space="preserve"/>
        </x:is>
      </x:c>
      <x:c r="H33" s="12" t="inlineStr">
        <x:is>
          <x:t xml:space="preserve"/>
        </x:is>
      </x:c>
    </x:row>
    <x:row r="34">
      <x:c r="A34" s="6" t="inlineStr">
        <x:is>
          <x:t xml:space="preserve">10.8</x:t>
        </x:is>
      </x:c>
      <x:c r="B34" s="6" t="inlineStr">
        <x:is>
          <x:t xml:space="preserve">Se exceder prazos 10.7, interromper ponto e fechar poço até reparo/substituição.</x:t>
        </x:is>
      </x:c>
      <x:c r="C34" s="6" t="inlineStr">
        <x:is>
          <x:t xml:space="preserve">Aba 04</x:t>
        </x:is>
      </x:c>
      <x:c r="D34" s="6" t="inlineStr">
        <x:is>
          <x:t xml:space="preserve">Registro decisão operacional</x:t>
        </x:is>
      </x:c>
      <x:c r="E34" s="6" t="inlineStr">
        <x:is>
          <x:t xml:space="preserve">Ata/ordem operacional</x:t>
        </x:is>
      </x:c>
      <x:c r="F34" s="9" t="inlineStr">
        <x:is>
          <x:t xml:space="preserve"/>
        </x:is>
      </x:c>
      <x:c r="G34" s="7" t="inlineStr">
        <x:is>
          <x:t xml:space="preserve"/>
        </x:is>
      </x:c>
      <x:c r="H34" s="12" t="inlineStr">
        <x:is>
          <x:t xml:space="preserve"/>
        </x:is>
      </x:c>
    </x:row>
    <x:row r="35">
      <x:c r="A35" s="6" t="inlineStr">
        <x:is>
          <x:t xml:space="preserve">10.4.2(j)</x:t>
        </x:is>
      </x:c>
      <x:c r="B35" s="6" t="inlineStr">
        <x:is>
          <x:t xml:space="preserve">Metodologia utilizada para investigação.</x:t>
        </x:is>
      </x:c>
      <x:c r="C35" s="6" t="inlineStr">
        <x:is>
          <x:t xml:space="preserve">Aba 02 / Aba 03</x:t>
        </x:is>
      </x:c>
      <x:c r="D35" s="6" t="inlineStr">
        <x:is>
          <x:t xml:space="preserve">Metodologia (SIM/NÃO) + resumo</x:t>
        </x:is>
      </x:c>
      <x:c r="E35" s="6" t="inlineStr">
        <x:is>
          <x:t xml:space="preserve">Plano de teste/diagnóstico</x:t>
        </x:is>
      </x:c>
      <x:c r="F35" s="9" t="inlineStr">
        <x:is>
          <x:t xml:space="preserve"/>
        </x:is>
      </x:c>
      <x:c r="G35" s="7" t="inlineStr">
        <x:is>
          <x:t xml:space="preserve"/>
        </x:is>
      </x:c>
      <x:c r="H35" s="12" t="inlineStr">
        <x:is>
          <x:t xml:space="preserve"/>
        </x:is>
      </x:c>
    </x:row>
    <x:row r="36">
      <x:c r="A36" s="6" t="inlineStr">
        <x:is>
          <x:t xml:space="preserve">10.4.2(k)</x:t>
        </x:is>
      </x:c>
      <x:c r="B36" s="6" t="inlineStr">
        <x:is>
          <x:t xml:space="preserve">Cronologia e descrição técnica do evento.</x:t>
        </x:is>
      </x:c>
      <x:c r="C36" s="6" t="inlineStr">
        <x:is>
          <x:t xml:space="preserve">Aba 02 / Aba 03</x:t>
        </x:is>
      </x:c>
      <x:c r="D36" s="6" t="inlineStr">
        <x:is>
          <x:t xml:space="preserve">Diário + resumo cronologia</x:t>
        </x:is>
      </x:c>
      <x:c r="E36" s="6" t="inlineStr">
        <x:is>
          <x:t xml:space="preserve">Logs/relatórios</x:t>
        </x:is>
      </x:c>
      <x:c r="F36" s="9" t="inlineStr">
        <x:is>
          <x:t xml:space="preserve"/>
        </x:is>
      </x:c>
      <x:c r="G36" s="7" t="inlineStr">
        <x:is>
          <x:t xml:space="preserve"/>
        </x:is>
      </x:c>
      <x:c r="H36" s="12" t="inlineStr">
        <x:is>
          <x:t xml:space="preserve"/>
        </x:is>
      </x:c>
    </x:row>
    <x:row r="37">
      <x:c r="A37" s="6" t="inlineStr">
        <x:is>
          <x:t xml:space="preserve">10.4.2(l)</x:t>
        </x:is>
      </x:c>
      <x:c r="B37" s="6" t="inlineStr">
        <x:is>
          <x:t xml:space="preserve">Evento/fator externo contribuinte.</x:t>
        </x:is>
      </x:c>
      <x:c r="C37" s="6" t="inlineStr">
        <x:is>
          <x:t xml:space="preserve">Aba 03</x:t>
        </x:is>
      </x:c>
      <x:c r="D37" s="6" t="inlineStr">
        <x:is>
          <x:t xml:space="preserve">Fatores externos</x:t>
        </x:is>
      </x:c>
      <x:c r="E37" s="6" t="inlineStr">
        <x:is>
          <x:t xml:space="preserve">Log operacional</x:t>
        </x:is>
      </x:c>
      <x:c r="F37" s="9" t="inlineStr">
        <x:is>
          <x:t xml:space="preserve"/>
        </x:is>
      </x:c>
      <x:c r="G37" s="7" t="inlineStr">
        <x:is>
          <x:t xml:space="preserve"/>
        </x:is>
      </x:c>
      <x:c r="H37" s="12" t="inlineStr">
        <x:is>
          <x:t xml:space="preserve"/>
        </x:is>
      </x:c>
    </x:row>
    <x:row r="38">
      <x:c r="A38" s="6" t="inlineStr">
        <x:is>
          <x:t xml:space="preserve">10.4.2(m)</x:t>
        </x:is>
      </x:c>
      <x:c r="B38" s="6" t="inlineStr">
        <x:is>
          <x:t xml:space="preserve">Fato(s) determinante(s) da ocorrência.</x:t>
        </x:is>
      </x:c>
      <x:c r="C38" s="6" t="inlineStr">
        <x:is>
          <x:t xml:space="preserve">Aba 03</x:t>
        </x:is>
      </x:c>
      <x:c r="D38" s="6" t="inlineStr">
        <x:is>
          <x:t xml:space="preserve">Causa raiz</x:t>
        </x:is>
      </x:c>
      <x:c r="E38" s="6" t="inlineStr">
        <x:is>
          <x:t xml:space="preserve">Relatório final</x:t>
        </x:is>
      </x:c>
      <x:c r="F38" s="9" t="inlineStr">
        <x:is>
          <x:t xml:space="preserve"/>
        </x:is>
      </x:c>
      <x:c r="G38" s="7" t="inlineStr">
        <x:is>
          <x:t xml:space="preserve"/>
        </x:is>
      </x:c>
      <x:c r="H38" s="12" t="inlineStr">
        <x:is>
          <x:t xml:space="preserve"/>
        </x:is>
      </x:c>
    </x:row>
    <x:row r="39">
      <x:c r="A39" s="6" t="inlineStr">
        <x:is>
          <x:t xml:space="preserve">10.4.2(n)</x:t>
        </x:is>
      </x:c>
      <x:c r="B39" s="6" t="inlineStr">
        <x:is>
          <x:t xml:space="preserve">Medidas mitigadoras e resultados esperados no contingenciamento.</x:t>
        </x:is>
      </x:c>
      <x:c r="C39" s="6" t="inlineStr">
        <x:is>
          <x:t xml:space="preserve">Aba 04</x:t>
        </x:is>
      </x:c>
      <x:c r="D39" s="6" t="inlineStr">
        <x:is>
          <x:t xml:space="preserve">Mitigação</x:t>
        </x:is>
      </x:c>
      <x:c r="E39" s="6" t="inlineStr">
        <x:is>
          <x:t xml:space="preserve">Plano contingência</x:t>
        </x:is>
      </x:c>
      <x:c r="F39" s="9" t="inlineStr">
        <x:is>
          <x:t xml:space="preserve"/>
        </x:is>
      </x:c>
      <x:c r="G39" s="7" t="inlineStr">
        <x:is>
          <x:t xml:space="preserve"/>
        </x:is>
      </x:c>
      <x:c r="H39" s="12" t="inlineStr">
        <x:is>
          <x:t xml:space="preserve"/>
        </x:is>
      </x:c>
    </x:row>
    <x:row r="40">
      <x:c r="A40" s="6" t="inlineStr">
        <x:is>
          <x:t xml:space="preserve">10.4.2(o)</x:t>
        </x:is>
      </x:c>
      <x:c r="B40" s="6" t="inlineStr">
        <x:is>
          <x:t xml:space="preserve">Recomendações para evitar recorrência.</x:t>
        </x:is>
      </x:c>
      <x:c r="C40" s="6" t="inlineStr">
        <x:is>
          <x:t xml:space="preserve">Aba 04</x:t>
        </x:is>
      </x:c>
      <x:c r="D40" s="6" t="inlineStr">
        <x:is>
          <x:t xml:space="preserve">CAPA</x:t>
        </x:is>
      </x:c>
      <x:c r="E40" s="6" t="inlineStr">
        <x:is>
          <x:t xml:space="preserve">Ações preventivas</x:t>
        </x:is>
      </x:c>
      <x:c r="F40" s="9" t="inlineStr">
        <x:is>
          <x:t xml:space="preserve"/>
        </x:is>
      </x:c>
      <x:c r="G40" s="7" t="inlineStr">
        <x:is>
          <x:t xml:space="preserve"/>
        </x:is>
      </x:c>
      <x:c r="H40" s="12" t="inlineStr">
        <x:is>
          <x:t xml:space="preserve"/>
        </x:is>
      </x:c>
    </x:row>
    <x:row r="41">
      <x:c r="A41" s="6" t="inlineStr">
        <x:is>
          <x:t xml:space="preserve">10.4.2(p)</x:t>
        </x:is>
      </x:c>
      <x:c r="B41" s="6" t="inlineStr">
        <x:is>
          <x:t xml:space="preserve">Cronograma de implementação das ações recomendadas.</x:t>
        </x:is>
      </x:c>
      <x:c r="C41" s="6" t="inlineStr">
        <x:is>
          <x:t xml:space="preserve">Aba 04</x:t>
        </x:is>
      </x:c>
      <x:c r="D41" s="6" t="inlineStr">
        <x:is>
          <x:t xml:space="preserve">Prazos CAPA</x:t>
        </x:is>
      </x:c>
      <x:c r="E41" s="6" t="inlineStr">
        <x:is>
          <x:t xml:space="preserve">Cronograma</x:t>
        </x:is>
      </x:c>
      <x:c r="F41" s="9" t="inlineStr">
        <x:is>
          <x:t xml:space="preserve"/>
        </x:is>
      </x:c>
      <x:c r="G41" s="7" t="inlineStr">
        <x:is>
          <x:t xml:space="preserve"/>
        </x:is>
      </x:c>
      <x:c r="H41" s="12" t="inlineStr">
        <x:is>
          <x:t xml:space="preserve"/>
        </x:is>
      </x:c>
    </x:row>
    <x:row r="42">
      <x:c r="A42" s="6" t="inlineStr">
        <x:is>
          <x:t xml:space="preserve">10.4.2(q)</x:t>
        </x:is>
      </x:c>
      <x:c r="B42" s="6" t="inlineStr">
        <x:is>
          <x:t xml:space="preserve">Medidas adotadas até emissão do relatório final.</x:t>
        </x:is>
      </x:c>
      <x:c r="C42" s="6" t="inlineStr">
        <x:is>
          <x:t xml:space="preserve">Aba 03</x:t>
        </x:is>
      </x:c>
      <x:c r="D42" s="6" t="inlineStr">
        <x:is>
          <x:t xml:space="preserve">Medidas adotadas</x:t>
        </x:is>
      </x:c>
      <x:c r="E42" s="6" t="inlineStr">
        <x:is>
          <x:t xml:space="preserve">Diário/atas</x:t>
        </x:is>
      </x:c>
      <x:c r="F42" s="9" t="inlineStr">
        <x:is>
          <x:t xml:space="preserve"/>
        </x:is>
      </x:c>
      <x:c r="G42" s="7" t="inlineStr">
        <x:is>
          <x:t xml:space="preserve"/>
        </x:is>
      </x:c>
      <x:c r="H42" s="12" t="inlineStr">
        <x:is>
          <x:t xml:space="preserve"/>
        </x:is>
      </x:c>
    </x:row>
    <x:row r="43">
      <x:c r="A43" s="6" t="inlineStr">
        <x:is>
          <x:t xml:space="preserve">10.4.2(r)</x:t>
        </x:is>
      </x:c>
      <x:c r="B43" s="6" t="inlineStr">
        <x:is>
          <x:t xml:space="preserve">Cronograma das ações futuras.</x:t>
        </x:is>
      </x:c>
      <x:c r="C43" s="6" t="inlineStr">
        <x:is>
          <x:t xml:space="preserve">Aba 04</x:t>
        </x:is>
      </x:c>
      <x:c r="D43" s="6" t="inlineStr">
        <x:is>
          <x:t xml:space="preserve">Cronograma futuro</x:t>
        </x:is>
      </x:c>
      <x:c r="E43" s="6" t="inlineStr">
        <x:is>
          <x:t xml:space="preserve">Plano de ação</x:t>
        </x:is>
      </x:c>
      <x:c r="F43" s="9" t="inlineStr">
        <x:is>
          <x:t xml:space="preserve"/>
        </x:is>
      </x:c>
      <x:c r="G43" s="7" t="inlineStr">
        <x:is>
          <x:t xml:space="preserve"/>
        </x:is>
      </x:c>
      <x:c r="H43" s="12" t="inlineStr">
        <x:is>
          <x:t xml:space="preserve"/>
        </x:is>
      </x:c>
    </x:row>
    <x:row r="44">
      <x:c r="A44" s="6" t="inlineStr">
        <x:is>
          <x:t xml:space="preserve">10.4.2(s)</x:t>
        </x:is>
      </x:c>
      <x:c r="B44" s="6" t="inlineStr">
        <x:is>
          <x:t xml:space="preserve">Observações e informações complementares.</x:t>
        </x:is>
      </x:c>
      <x:c r="C44" s="6" t="inlineStr">
        <x:is>
          <x:t xml:space="preserve">Aba 03</x:t>
        </x:is>
      </x:c>
      <x:c r="D44" s="6" t="inlineStr">
        <x:is>
          <x:t xml:space="preserve">Observações</x:t>
        </x:is>
      </x:c>
      <x:c r="E44" s="6" t="inlineStr">
        <x:is>
          <x:t xml:space="preserve">Notas/anexos</x:t>
        </x:is>
      </x:c>
      <x:c r="F44" s="9" t="inlineStr">
        <x:is>
          <x:t xml:space="preserve"/>
        </x:is>
      </x:c>
      <x:c r="G44" s="7" t="inlineStr">
        <x:is>
          <x:t xml:space="preserve"/>
        </x:is>
      </x:c>
      <x:c r="H44" s="12" t="inlineStr">
        <x:is>
          <x:t xml:space="preserve"/>
        </x:is>
      </x:c>
    </x:row>
    <x:row r="45">
      <x:c r="A45" s="6" t="inlineStr">
        <x:is>
          <x:t xml:space="preserve">10.4.2(t)</x:t>
        </x:is>
      </x:c>
      <x:c r="B45" s="6" t="inlineStr">
        <x:is>
          <x:t xml:space="preserve">Identificação do(s) responsável(is) pelo relatório.</x:t>
        </x:is>
      </x:c>
      <x:c r="C45" s="6" t="inlineStr">
        <x:is>
          <x:t xml:space="preserve">Aba 01</x:t>
        </x:is>
      </x:c>
      <x:c r="D45" s="6" t="inlineStr">
        <x:is>
          <x:t xml:space="preserve">Responsável técnico</x:t>
        </x:is>
      </x:c>
      <x:c r="E45" s="6" t="inlineStr">
        <x:is>
          <x:t xml:space="preserve">Assinatura</x:t>
        </x:is>
      </x:c>
      <x:c r="F45" s="9" t="inlineStr">
        <x:is>
          <x:t xml:space="preserve"/>
        </x:is>
      </x:c>
      <x:c r="G45" s="7" t="inlineStr">
        <x:is>
          <x:t xml:space="preserve"/>
        </x:is>
      </x:c>
      <x:c r="H45" s="12" t="inlineStr">
        <x:is>
          <x:t xml:space="preserve"/>
        </x:is>
      </x:c>
    </x:row>
    <x:row r="46">
      <x:c r="A46" s="38" t="inlineStr">
        <x:is>
          <x:t xml:space="preserve">10.4.2(a)</x:t>
        </x:is>
      </x:c>
      <x:c r="B46" s="38" t="inlineStr">
        <x:is>
          <x:t xml:space="preserve">Nome do agente regulado.</x:t>
        </x:is>
      </x:c>
      <x:c r="C46" s="38" t="inlineStr">
        <x:is>
          <x:t xml:space="preserve">Aba 01</x:t>
        </x:is>
      </x:c>
      <x:c r="D46" s="38" t="inlineStr">
        <x:is>
          <x:t xml:space="preserve">Agente regulado</x:t>
        </x:is>
      </x:c>
      <x:c r="E46" s="38" t="inlineStr">
        <x:is>
          <x:t xml:space="preserve">Carta/relatório</x:t>
        </x:is>
      </x:c>
      <x:c r="F46" s="9" t="inlineStr">
        <x:is>
          <x:t xml:space="preserve"/>
        </x:is>
      </x:c>
      <x:c r="G46" s="7" t="inlineStr">
        <x:is>
          <x:t xml:space="preserve"/>
        </x:is>
      </x:c>
      <x:c r="H46" s="12" t="inlineStr">
        <x:is>
          <x:t xml:space="preserve"/>
        </x:is>
      </x:c>
    </x:row>
    <x:row r="47">
      <x:c r="A47" s="38" t="inlineStr">
        <x:is>
          <x:t xml:space="preserve">10.4.2(b)</x:t>
        </x:is>
      </x:c>
      <x:c r="B47" s="38" t="inlineStr">
        <x:is>
          <x:t xml:space="preserve">Identificação da bacia.</x:t>
        </x:is>
      </x:c>
      <x:c r="C47" s="38" t="inlineStr">
        <x:is>
          <x:t xml:space="preserve">Aba 01</x:t>
        </x:is>
      </x:c>
      <x:c r="D47" s="38" t="inlineStr">
        <x:is>
          <x:t xml:space="preserve">Bacia</x:t>
        </x:is>
      </x:c>
      <x:c r="E47" s="38" t="inlineStr">
        <x:is>
          <x:t xml:space="preserve">Carta/relatório</x:t>
        </x:is>
      </x:c>
      <x:c r="F47" s="9" t="inlineStr">
        <x:is>
          <x:t xml:space="preserve"/>
        </x:is>
      </x:c>
      <x:c r="G47" s="7" t="inlineStr">
        <x:is>
          <x:t xml:space="preserve"/>
        </x:is>
      </x:c>
      <x:c r="H47" s="12" t="inlineStr">
        <x:is>
          <x:t xml:space="preserve"/>
        </x:is>
      </x:c>
    </x:row>
    <x:row r="48">
      <x:c r="A48" s="38" t="inlineStr">
        <x:is>
          <x:t xml:space="preserve">10.4.2(c)</x:t>
        </x:is>
      </x:c>
      <x:c r="B48" s="38" t="inlineStr">
        <x:is>
          <x:t xml:space="preserve">Identificação do campo.</x:t>
        </x:is>
      </x:c>
      <x:c r="C48" s="38" t="inlineStr">
        <x:is>
          <x:t xml:space="preserve">Aba 01</x:t>
        </x:is>
      </x:c>
      <x:c r="D48" s="38" t="inlineStr">
        <x:is>
          <x:t xml:space="preserve">Campo</x:t>
        </x:is>
      </x:c>
      <x:c r="E48" s="38" t="inlineStr">
        <x:is>
          <x:t xml:space="preserve">Carta/relatório</x:t>
        </x:is>
      </x:c>
      <x:c r="F48" s="9" t="inlineStr">
        <x:is>
          <x:t xml:space="preserve"/>
        </x:is>
      </x:c>
      <x:c r="G48" s="7" t="inlineStr">
        <x:is>
          <x:t xml:space="preserve"/>
        </x:is>
      </x:c>
      <x:c r="H48" s="12" t="inlineStr">
        <x:is>
          <x:t xml:space="preserve"/>
        </x:is>
      </x:c>
    </x:row>
    <x:row r="49">
      <x:c r="A49" s="38" t="inlineStr">
        <x:is>
          <x:t xml:space="preserve">10.4.2(d)</x:t>
        </x:is>
      </x:c>
      <x:c r="B49" s="38" t="inlineStr">
        <x:is>
          <x:t xml:space="preserve">Identificação da instalação.</x:t>
        </x:is>
      </x:c>
      <x:c r="C49" s="38" t="inlineStr">
        <x:is>
          <x:t xml:space="preserve">Aba 01</x:t>
        </x:is>
      </x:c>
      <x:c r="D49" s="38" t="inlineStr">
        <x:is>
          <x:t xml:space="preserve">Instalação</x:t>
        </x:is>
      </x:c>
      <x:c r="E49" s="38" t="inlineStr">
        <x:is>
          <x:t xml:space="preserve">Carta/relatório</x:t>
        </x:is>
      </x:c>
      <x:c r="F49" s="9" t="inlineStr">
        <x:is>
          <x:t xml:space="preserve"/>
        </x:is>
      </x:c>
      <x:c r="G49" s="7" t="inlineStr">
        <x:is>
          <x:t xml:space="preserve"/>
        </x:is>
      </x:c>
      <x:c r="H49" s="12" t="inlineStr">
        <x:is>
          <x:t xml:space="preserve"/>
        </x:is>
      </x:c>
    </x:row>
    <x:row r="50">
      <x:c r="A50" s="38" t="inlineStr">
        <x:is>
          <x:t xml:space="preserve">10.4.2(e)</x:t>
        </x:is>
      </x:c>
      <x:c r="B50" s="38" t="inlineStr">
        <x:is>
          <x:t xml:space="preserve">Identificação do medidor/sistema/equipamento em falha.</x:t>
        </x:is>
      </x:c>
      <x:c r="C50" s="38" t="inlineStr">
        <x:is>
          <x:t xml:space="preserve">Aba 01</x:t>
        </x:is>
      </x:c>
      <x:c r="D50" s="38" t="inlineStr">
        <x:is>
          <x:t xml:space="preserve">TAG + sistema associado</x:t>
        </x:is>
      </x:c>
      <x:c r="E50" s="38" t="inlineStr">
        <x:is>
          <x:t xml:space="preserve">Logs, IDS</x:t>
        </x:is>
      </x:c>
      <x:c r="F50" s="9" t="inlineStr">
        <x:is>
          <x:t xml:space="preserve"/>
        </x:is>
      </x:c>
      <x:c r="G50" s="7" t="inlineStr">
        <x:is>
          <x:t xml:space="preserve"/>
        </x:is>
      </x:c>
      <x:c r="H50" s="12" t="inlineStr">
        <x:is>
          <x:t xml:space="preserve"/>
        </x:is>
      </x:c>
    </x:row>
    <x:row r="51">
      <x:c r="A51" s="38" t="inlineStr">
        <x:is>
          <x:t xml:space="preserve">10.4.2(f)</x:t>
        </x:is>
      </x:c>
      <x:c r="B51" s="38" t="inlineStr">
        <x:is>
          <x:t xml:space="preserve">Condições de operação antes do evento (GVF, salinidade, BSW, vazões, P, T).</x:t>
        </x:is>
      </x:c>
      <x:c r="C51" s="38" t="inlineStr">
        <x:is>
          <x:t xml:space="preserve">Aba 01</x:t>
        </x:is>
      </x:c>
      <x:c r="D51" s="38" t="inlineStr">
        <x:is>
          <x:t xml:space="preserve">Tabela condições</x:t>
        </x:is>
      </x:c>
      <x:c r="E51" s="38" t="inlineStr">
        <x:is>
          <x:t xml:space="preserve">PI trends</x:t>
        </x:is>
      </x:c>
      <x:c r="F51" s="9" t="inlineStr">
        <x:is>
          <x:t xml:space="preserve"/>
        </x:is>
      </x:c>
      <x:c r="G51" s="7" t="inlineStr">
        <x:is>
          <x:t xml:space="preserve"/>
        </x:is>
      </x:c>
      <x:c r="H51" s="12" t="inlineStr">
        <x:is>
          <x:t xml:space="preserve"/>
        </x:is>
      </x:c>
    </x:row>
    <x:row r="52">
      <x:c r="A52" s="38" t="inlineStr">
        <x:is>
          <x:t xml:space="preserve">10.4.2(g)</x:t>
        </x:is>
      </x:c>
      <x:c r="B52" s="38" t="inlineStr">
        <x:is>
          <x:t xml:space="preserve">Data da ocorrência.</x:t>
        </x:is>
      </x:c>
      <x:c r="C52" s="38" t="inlineStr">
        <x:is>
          <x:t xml:space="preserve">Aba 01</x:t>
        </x:is>
      </x:c>
      <x:c r="D52" s="38" t="inlineStr">
        <x:is>
          <x:t xml:space="preserve">Data ocorrência</x:t>
        </x:is>
      </x:c>
      <x:c r="E52" s="38" t="inlineStr">
        <x:is>
          <x:t xml:space="preserve">Log/alarme</x:t>
        </x:is>
      </x:c>
      <x:c r="F52" s="9" t="inlineStr">
        <x:is>
          <x:t xml:space="preserve"/>
        </x:is>
      </x:c>
      <x:c r="G52" s="7" t="inlineStr">
        <x:is>
          <x:t xml:space="preserve"/>
        </x:is>
      </x:c>
      <x:c r="H52" s="12" t="inlineStr">
        <x:is>
          <x:t xml:space="preserve"/>
        </x:is>
      </x:c>
    </x:row>
    <x:row r="53">
      <x:c r="A53" s="38" t="inlineStr">
        <x:is>
          <x:t xml:space="preserve">10.4.2(h)</x:t>
        </x:is>
      </x:c>
      <x:c r="B53" s="38" t="inlineStr">
        <x:is>
          <x:t xml:space="preserve">Data de detecção.</x:t>
        </x:is>
      </x:c>
      <x:c r="C53" s="38" t="inlineStr">
        <x:is>
          <x:t xml:space="preserve">Aba 01</x:t>
        </x:is>
      </x:c>
      <x:c r="D53" s="38" t="inlineStr">
        <x:is>
          <x:t xml:space="preserve">Data detecção</x:t>
        </x:is>
      </x:c>
      <x:c r="E53" s="38" t="inlineStr">
        <x:is>
          <x:t xml:space="preserve">Alarme/relatório</x:t>
        </x:is>
      </x:c>
      <x:c r="F53" s="9" t="inlineStr">
        <x:is>
          <x:t xml:space="preserve"/>
        </x:is>
      </x:c>
      <x:c r="G53" s="7" t="inlineStr">
        <x:is>
          <x:t xml:space="preserve"/>
        </x:is>
      </x:c>
      <x:c r="H53" s="12" t="inlineStr">
        <x:is>
          <x:t xml:space="preserve"/>
        </x:is>
      </x:c>
    </x:row>
    <x:row r="54">
      <x:c r="A54" s="38" t="inlineStr">
        <x:is>
          <x:t xml:space="preserve">10.4.2(i)</x:t>
        </x:is>
      </x:c>
      <x:c r="B54" s="38" t="inlineStr">
        <x:is>
          <x:t xml:space="preserve">Data do relatório.</x:t>
        </x:is>
      </x:c>
      <x:c r="C54" s="38" t="inlineStr">
        <x:is>
          <x:t xml:space="preserve">Aba 01</x:t>
        </x:is>
      </x:c>
      <x:c r="D54" s="38" t="inlineStr">
        <x:is>
          <x:t xml:space="preserve">Data relatório</x:t>
        </x:is>
      </x:c>
      <x:c r="E54" s="38" t="inlineStr">
        <x:is>
          <x:t xml:space="preserve">Capa/assinatura</x:t>
        </x:is>
      </x:c>
      <x:c r="F54" s="9" t="inlineStr">
        <x:is>
          <x:t xml:space="preserve"/>
        </x:is>
      </x:c>
      <x:c r="G54" s="7" t="inlineStr">
        <x:is>
          <x:t xml:space="preserve"/>
        </x:is>
      </x:c>
      <x:c r="H54" s="12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</x:worksheet>
</file>