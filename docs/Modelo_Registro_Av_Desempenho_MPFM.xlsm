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ocumenttasks/documenttask1.xml" ContentType="application/vnd.ms-excel.documenttask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AM\Downloads\"/>
    </mc:Choice>
  </mc:AlternateContent>
  <xr:revisionPtr revIDLastSave="0" documentId="8_{74F84D25-7A1A-4581-B8E2-E94073DCA350}" xr6:coauthVersionLast="47" xr6:coauthVersionMax="47" xr10:uidLastSave="{00000000-0000-0000-0000-000000000000}"/>
  <bookViews>
    <workbookView xWindow="3540" yWindow="1800" windowWidth="19230" windowHeight="15600" tabRatio="881" firstSheet="4" activeTab="10" xr2:uid="{00000000-000D-0000-FFFF-FFFF00000000}"/>
  </bookViews>
  <sheets>
    <sheet name="Instrucoes" sheetId="1" r:id="rId1"/>
    <sheet name="REGISTRO" sheetId="2" r:id="rId2"/>
    <sheet name="Sheet1" sheetId="10" state="hidden" r:id="rId3"/>
    <sheet name="PVT_AS_FOUND" sheetId="16" r:id="rId4"/>
    <sheet name="PVT_NOVA_AS_LEFT" sheetId="3" r:id="rId5"/>
    <sheet name="TOTALIZADOR 24h" sheetId="15" r:id="rId6"/>
    <sheet name="Totalizador 24h 21_01" sheetId="13" state="hidden" r:id="rId7"/>
    <sheet name="K_Fatores" sheetId="5" r:id="rId8"/>
    <sheet name="Pos_Monitoramento" sheetId="7" r:id="rId9"/>
    <sheet name="Alarmes_Eventos" sheetId="8" r:id="rId10"/>
    <sheet name="Ocorrência Atividade" sheetId="20" r:id="rId11"/>
    <sheet name="Balanco_HC_GasLift" sheetId="6" state="hidden" r:id="rId12"/>
    <sheet name="Relatorio" sheetId="9" state="hidden" r:id="rId13"/>
    <sheet name="Listas" sheetId="18" state="hidden" r:id="rId14"/>
  </sheets>
  <externalReferences>
    <externalReference r:id="rId15"/>
  </externalReferences>
  <definedNames>
    <definedName name="_xleta.AVERAGE" hidden="1" xlm="1">#NAME?</definedName>
    <definedName name="_xleta.DATE" hidden="1" xlm="1">#NAME?</definedName>
    <definedName name="_xleta.DAYS" hidden="1" xlm="1">#NAME?</definedName>
    <definedName name="_xleta.EXACT" hidden="1" xlm="1">#NAME?</definedName>
    <definedName name="_xleta.T" hidden="1" xlm="1">#NAME?</definedName>
    <definedName name="_xleta.TIME" hidden="1" xlm="1">#NAME?</definedName>
    <definedName name="argonio">#REF!</definedName>
    <definedName name="co">#REF!</definedName>
    <definedName name="co_2">#REF!</definedName>
    <definedName name="etano">#REF!</definedName>
    <definedName name="h_2">#REF!</definedName>
    <definedName name="h2o">#REF!</definedName>
    <definedName name="h2s">#REF!</definedName>
    <definedName name="helio">#REF!</definedName>
    <definedName name="ibutano">#REF!</definedName>
    <definedName name="ipentano">#REF!</definedName>
    <definedName name="Maior10">[1]DAILY_SINGLE!#REF!</definedName>
    <definedName name="mespecb">#REF!</definedName>
    <definedName name="mespecf">#REF!</definedName>
    <definedName name="metano">#REF!</definedName>
    <definedName name="nbutano">#REF!</definedName>
    <definedName name="ndecano">#REF!</definedName>
    <definedName name="nheptano">#REF!</definedName>
    <definedName name="nhexano">#REF!</definedName>
    <definedName name="nitrogenio">#REF!</definedName>
    <definedName name="nnonano">#REF!</definedName>
    <definedName name="noctano">#REF!</definedName>
    <definedName name="npentano">#REF!</definedName>
    <definedName name="oxigenio">#REF!</definedName>
    <definedName name="p_b">#REF!</definedName>
    <definedName name="p_op">#REF!</definedName>
    <definedName name="p_ref">#REF!</definedName>
    <definedName name="pressao">#REF!</definedName>
    <definedName name="_xlnm.Print_Area" localSheetId="10">'Ocorrência Atividade'!$A$1:$S$25</definedName>
    <definedName name="propano">#REF!</definedName>
    <definedName name="t_b">#REF!</definedName>
    <definedName name="t_op">#REF!</definedName>
    <definedName name="t_ref">#REF!</definedName>
    <definedName name="temperatura">#REF!</definedName>
    <definedName name="teste">#REF!</definedName>
    <definedName name="total">#REF!</definedName>
    <definedName name="vol_op">#REF!</definedName>
    <definedName name="zb">#REF!</definedName>
    <definedName name="zf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1" i="16" l="1"/>
  <c r="C51" i="16"/>
  <c r="D51" i="3"/>
  <c r="C51" i="3"/>
  <c r="S14" i="7" l="1"/>
  <c r="S15" i="7"/>
  <c r="S16" i="7"/>
  <c r="S17" i="7"/>
  <c r="S18" i="7"/>
  <c r="S19" i="7"/>
  <c r="S20" i="7"/>
  <c r="R14" i="7"/>
  <c r="R15" i="7"/>
  <c r="R16" i="7"/>
  <c r="R17" i="7"/>
  <c r="R18" i="7"/>
  <c r="R19" i="7"/>
  <c r="R20" i="7"/>
  <c r="N29" i="13" l="1"/>
  <c r="D6" i="13" l="1" a="1"/>
  <c r="H7" i="13" a="1"/>
  <c r="D6" i="13" l="1"/>
  <c r="H7" i="13"/>
  <c r="D8" i="13" l="1" a="1"/>
  <c r="E6" i="13" a="1"/>
  <c r="F29" i="13" a="1"/>
  <c r="D7" i="13" a="1"/>
  <c r="H26" i="13" a="1"/>
  <c r="I6" i="13" a="1"/>
  <c r="J30" i="13" a="1"/>
  <c r="I9" i="13" a="1"/>
  <c r="I8" i="13" a="1"/>
  <c r="I7" i="13" a="1"/>
  <c r="J6" i="13" a="1"/>
  <c r="I30" i="13" a="1"/>
  <c r="I25" i="13" a="1"/>
  <c r="I12" i="13" a="1"/>
  <c r="F6" i="13" a="1"/>
  <c r="J22" i="13" a="1"/>
  <c r="I14" i="13" a="1"/>
  <c r="J10" i="13" a="1"/>
  <c r="I21" i="13" a="1"/>
  <c r="I28" i="13" a="1"/>
  <c r="I22" i="13" a="1"/>
  <c r="I13" i="13" a="1"/>
  <c r="J24" i="13" a="1"/>
  <c r="J9" i="13" a="1"/>
  <c r="J11" i="13" a="1"/>
  <c r="J18" i="13" a="1"/>
  <c r="J25" i="13" a="1"/>
  <c r="I16" i="13" a="1"/>
  <c r="I23" i="13" a="1"/>
  <c r="J21" i="13" a="1"/>
  <c r="I19" i="13" a="1"/>
  <c r="J15" i="13" a="1"/>
  <c r="I20" i="13" a="1"/>
  <c r="J23" i="13" a="1"/>
  <c r="J17" i="13" a="1"/>
  <c r="J12" i="13" a="1"/>
  <c r="J19" i="13" a="1"/>
  <c r="J26" i="13" a="1"/>
  <c r="I10" i="13" a="1"/>
  <c r="I17" i="13" a="1"/>
  <c r="I24" i="13" a="1"/>
  <c r="I18" i="13" a="1"/>
  <c r="J7" i="13" a="1"/>
  <c r="J28" i="13" a="1"/>
  <c r="J29" i="13" a="1"/>
  <c r="I27" i="13" a="1"/>
  <c r="J13" i="13" a="1"/>
  <c r="J20" i="13" a="1"/>
  <c r="J27" i="13" a="1"/>
  <c r="I11" i="13" a="1"/>
  <c r="J14" i="13" a="1"/>
  <c r="I26" i="13" a="1"/>
  <c r="J8" i="13" a="1"/>
  <c r="J16" i="13" a="1"/>
  <c r="I15" i="13" a="1"/>
  <c r="I29" i="13" a="1"/>
  <c r="D20" i="13" a="1"/>
  <c r="E30" i="13" a="1"/>
  <c r="D17" i="13" a="1"/>
  <c r="E10" i="13" a="1"/>
  <c r="E27" i="13" a="1"/>
  <c r="E21" i="13" a="1"/>
  <c r="D28" i="13" a="1"/>
  <c r="E15" i="13" a="1"/>
  <c r="E19" i="13" a="1"/>
  <c r="D31" i="13" a="1"/>
  <c r="D16" i="13" a="1"/>
  <c r="E9" i="13" a="1"/>
  <c r="E11" i="13" a="1"/>
  <c r="D29" i="13" a="1"/>
  <c r="D15" i="13" a="1"/>
  <c r="E8" i="13" a="1"/>
  <c r="D14" i="13" a="1"/>
  <c r="E12" i="13" a="1"/>
  <c r="D9" i="13" a="1"/>
  <c r="E29" i="13" a="1"/>
  <c r="E7" i="13" a="1"/>
  <c r="D19" i="13" a="1"/>
  <c r="E20" i="13" a="1"/>
  <c r="D27" i="13" a="1"/>
  <c r="D13" i="13" a="1"/>
  <c r="E22" i="13" a="1"/>
  <c r="E28" i="13" a="1"/>
  <c r="D26" i="13" a="1"/>
  <c r="D12" i="13" a="1"/>
  <c r="E16" i="13" a="1"/>
  <c r="E13" i="13" a="1"/>
  <c r="D11" i="13" a="1"/>
  <c r="D10" i="13" a="1"/>
  <c r="E23" i="13" a="1"/>
  <c r="D21" i="13" a="1"/>
  <c r="F30" i="13" a="1"/>
  <c r="E26" i="13" a="1"/>
  <c r="D25" i="13" a="1"/>
  <c r="E14" i="13" a="1"/>
  <c r="D24" i="13" a="1"/>
  <c r="D23" i="13" a="1"/>
  <c r="E24" i="13" a="1"/>
  <c r="E18" i="13" a="1"/>
  <c r="E25" i="13" a="1"/>
  <c r="D22" i="13" a="1"/>
  <c r="E17" i="13" a="1"/>
  <c r="D18" i="13" a="1"/>
  <c r="L6" i="13" a="1"/>
  <c r="H6" i="13" a="1"/>
  <c r="H13" i="13" a="1"/>
  <c r="H8" i="13" a="1"/>
  <c r="H9" i="13" a="1"/>
  <c r="H10" i="13" a="1"/>
  <c r="H12" i="13" a="1"/>
  <c r="H11" i="13" a="1"/>
  <c r="D7" i="13" l="1"/>
  <c r="M7" i="13" s="1"/>
  <c r="F29" i="13"/>
  <c r="E6" i="13"/>
  <c r="D8" i="13"/>
  <c r="J30" i="13"/>
  <c r="I6" i="13"/>
  <c r="H26" i="13"/>
  <c r="I30" i="13"/>
  <c r="J6" i="13"/>
  <c r="I7" i="13"/>
  <c r="I8" i="13"/>
  <c r="I9" i="13"/>
  <c r="I29" i="13"/>
  <c r="I15" i="13"/>
  <c r="J16" i="13"/>
  <c r="J8" i="13"/>
  <c r="I26" i="13"/>
  <c r="J14" i="13"/>
  <c r="K14" i="13" s="1"/>
  <c r="I11" i="13"/>
  <c r="J27" i="13"/>
  <c r="K27" i="13" s="1"/>
  <c r="J20" i="13"/>
  <c r="J13" i="13"/>
  <c r="I27" i="13"/>
  <c r="J29" i="13"/>
  <c r="J28" i="13"/>
  <c r="J7" i="13"/>
  <c r="I18" i="13"/>
  <c r="I24" i="13"/>
  <c r="I17" i="13"/>
  <c r="I10" i="13"/>
  <c r="J26" i="13"/>
  <c r="K26" i="13" s="1"/>
  <c r="J19" i="13"/>
  <c r="K19" i="13" s="1"/>
  <c r="J12" i="13"/>
  <c r="J17" i="13"/>
  <c r="J23" i="13"/>
  <c r="I20" i="13"/>
  <c r="J15" i="13"/>
  <c r="I19" i="13"/>
  <c r="J21" i="13"/>
  <c r="K21" i="13" s="1"/>
  <c r="I23" i="13"/>
  <c r="I16" i="13"/>
  <c r="J25" i="13"/>
  <c r="J18" i="13"/>
  <c r="J11" i="13"/>
  <c r="J9" i="13"/>
  <c r="J24" i="13"/>
  <c r="I13" i="13"/>
  <c r="I22" i="13"/>
  <c r="I28" i="13"/>
  <c r="I21" i="13"/>
  <c r="J10" i="13"/>
  <c r="I14" i="13"/>
  <c r="J22" i="13"/>
  <c r="F6" i="13"/>
  <c r="I12" i="13"/>
  <c r="I25" i="13"/>
  <c r="L6" i="13"/>
  <c r="H11" i="13"/>
  <c r="H12" i="13"/>
  <c r="H10" i="13"/>
  <c r="H9" i="13"/>
  <c r="H8" i="13"/>
  <c r="H13" i="13"/>
  <c r="H6" i="13"/>
  <c r="M6" i="13" s="1"/>
  <c r="F30" i="13"/>
  <c r="E30" i="13"/>
  <c r="D31" i="13"/>
  <c r="D29" i="13"/>
  <c r="D28" i="13"/>
  <c r="D27" i="13"/>
  <c r="D26" i="13"/>
  <c r="M26" i="13" s="1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M13" i="13" s="1"/>
  <c r="D12" i="13"/>
  <c r="D11" i="13"/>
  <c r="M11" i="13" s="1"/>
  <c r="D10" i="13"/>
  <c r="D9" i="13"/>
  <c r="E29" i="13"/>
  <c r="E7" i="13"/>
  <c r="E20" i="13"/>
  <c r="E10" i="13"/>
  <c r="E9" i="13"/>
  <c r="E13" i="13"/>
  <c r="E19" i="13"/>
  <c r="E12" i="13"/>
  <c r="E21" i="13"/>
  <c r="E11" i="13"/>
  <c r="E27" i="13"/>
  <c r="E26" i="13"/>
  <c r="E25" i="13"/>
  <c r="E18" i="13"/>
  <c r="E24" i="13"/>
  <c r="E17" i="13"/>
  <c r="E28" i="13"/>
  <c r="E23" i="13"/>
  <c r="E14" i="13"/>
  <c r="E16" i="13"/>
  <c r="E22" i="13"/>
  <c r="E15" i="13"/>
  <c r="E8" i="13"/>
  <c r="B31" i="13"/>
  <c r="C30" i="13"/>
  <c r="L30" i="13" a="1"/>
  <c r="H28" i="13" a="1"/>
  <c r="T14" i="13" a="1"/>
  <c r="R12" i="13" a="1"/>
  <c r="R20" i="13" a="1"/>
  <c r="L27" i="13" a="1"/>
  <c r="L26" i="13" a="1"/>
  <c r="O28" i="13" a="1"/>
  <c r="R24" i="13" a="1"/>
  <c r="R25" i="13" a="1"/>
  <c r="T24" i="13" a="1"/>
  <c r="T22" i="13" a="1"/>
  <c r="R7" i="13" a="1"/>
  <c r="O10" i="13" a="1"/>
  <c r="R16" i="13" a="1"/>
  <c r="H23" i="13" a="1"/>
  <c r="L22" i="13" a="1"/>
  <c r="L15" i="13" a="1"/>
  <c r="S29" i="13" a="1"/>
  <c r="F16" i="13" a="1"/>
  <c r="F28" i="13" a="1"/>
  <c r="L17" i="13" a="1"/>
  <c r="O29" i="13" a="1"/>
  <c r="O26" i="13" a="1"/>
  <c r="F26" i="13" a="1"/>
  <c r="F11" i="13" a="1"/>
  <c r="O16" i="13" a="1"/>
  <c r="H24" i="13" a="1"/>
  <c r="L20" i="13" a="1"/>
  <c r="H21" i="13" a="1"/>
  <c r="S26" i="13" a="1"/>
  <c r="T18" i="13" a="1"/>
  <c r="T13" i="13" a="1"/>
  <c r="F15" i="13" a="1"/>
  <c r="F21" i="13" a="1"/>
  <c r="L10" i="13" a="1"/>
  <c r="O22" i="13" a="1"/>
  <c r="L13" i="13" a="1"/>
  <c r="O19" i="13" a="1"/>
  <c r="S14" i="13" a="1"/>
  <c r="S25" i="13" a="1"/>
  <c r="R23" i="13" a="1"/>
  <c r="L16" i="13" a="1"/>
  <c r="H30" i="13" a="1"/>
  <c r="O15" i="13" a="1"/>
  <c r="F25" i="13" a="1"/>
  <c r="F7" i="13" a="1"/>
  <c r="O30" i="13" a="1"/>
  <c r="H14" i="13" a="1"/>
  <c r="F14" i="13" a="1"/>
  <c r="R29" i="13" a="1"/>
  <c r="R28" i="13" a="1"/>
  <c r="L28" i="13" a="1"/>
  <c r="S24" i="13" a="1"/>
  <c r="O12" i="13" a="1"/>
  <c r="R8" i="13" a="1"/>
  <c r="O21" i="13" a="1"/>
  <c r="L19" i="13" a="1"/>
  <c r="L29" i="13" a="1"/>
  <c r="S19" i="13" a="1"/>
  <c r="H16" i="13" a="1"/>
  <c r="F23" i="13" a="1"/>
  <c r="S28" i="13" a="1"/>
  <c r="S27" i="13" a="1"/>
  <c r="O27" i="13" a="1"/>
  <c r="T23" i="13" a="1"/>
  <c r="T29" i="13" a="1"/>
  <c r="S7" i="13" a="1"/>
  <c r="O18" i="13" a="1"/>
  <c r="O6" i="13" a="1"/>
  <c r="H27" i="13" a="1"/>
  <c r="L12" i="13" a="1"/>
  <c r="F22" i="13" a="1"/>
  <c r="T27" i="13" a="1"/>
  <c r="T26" i="13" a="1"/>
  <c r="H22" i="13" a="1"/>
  <c r="R18" i="13" a="1"/>
  <c r="R30" i="13" a="1"/>
  <c r="O9" i="13" a="1"/>
  <c r="R17" i="13" a="1"/>
  <c r="S15" i="13" a="1"/>
  <c r="O11" i="13" a="1"/>
  <c r="O14" i="13" a="1"/>
  <c r="F10" i="13" a="1"/>
  <c r="R22" i="13" a="1"/>
  <c r="R21" i="13" a="1"/>
  <c r="L21" i="13" a="1"/>
  <c r="S17" i="13" a="1"/>
  <c r="L23" i="13" a="1"/>
  <c r="S16" i="13" a="1"/>
  <c r="L8" i="13" a="1"/>
  <c r="T10" i="13" a="1"/>
  <c r="R10" i="13" a="1"/>
  <c r="T25" i="13" a="1"/>
  <c r="H17" i="13" a="1"/>
  <c r="S30" i="13" a="1"/>
  <c r="F20" i="13" a="1"/>
  <c r="F24" i="13" a="1"/>
  <c r="T19" i="13" a="1"/>
  <c r="H15" i="13" a="1"/>
  <c r="O24" i="13" a="1"/>
  <c r="S18" i="13" a="1"/>
  <c r="L9" i="13" a="1"/>
  <c r="O7" i="13" a="1"/>
  <c r="R13" i="13" a="1"/>
  <c r="F8" i="13" a="1"/>
  <c r="H25" i="13" a="1"/>
  <c r="R14" i="13" a="1"/>
  <c r="S10" i="13" a="1"/>
  <c r="O8" i="13" a="1"/>
  <c r="S12" i="13" a="1"/>
  <c r="T6" i="13" a="1"/>
  <c r="F9" i="13" a="1"/>
  <c r="S21" i="13" a="1"/>
  <c r="S20" i="13" a="1"/>
  <c r="O20" i="13" a="1"/>
  <c r="T16" i="13" a="1"/>
  <c r="L25" i="13" a="1"/>
  <c r="T15" i="13" a="1"/>
  <c r="S9" i="13" a="1"/>
  <c r="T20" i="13" a="1"/>
  <c r="R11" i="13" a="1"/>
  <c r="T8" i="13" a="1"/>
  <c r="F13" i="13" a="1"/>
  <c r="L14" i="13" a="1"/>
  <c r="H19" i="13" a="1"/>
  <c r="S22" i="13" a="1"/>
  <c r="T28" i="13" a="1"/>
  <c r="H29" i="13" a="1"/>
  <c r="F18" i="13" a="1"/>
  <c r="F19" i="13" a="1"/>
  <c r="L24" i="13" a="1"/>
  <c r="S13" i="13" a="1"/>
  <c r="O13" i="13" a="1"/>
  <c r="T9" i="13" a="1"/>
  <c r="L18" i="13" a="1"/>
  <c r="T17" i="13" a="1"/>
  <c r="T7" i="13" a="1"/>
  <c r="R27" i="13" a="1"/>
  <c r="T11" i="13" a="1"/>
  <c r="T21" i="13" a="1"/>
  <c r="F17" i="13" a="1"/>
  <c r="F12" i="13" a="1"/>
  <c r="O23" i="13" a="1"/>
  <c r="T12" i="13" a="1"/>
  <c r="L7" i="13" a="1"/>
  <c r="R6" i="13" a="1"/>
  <c r="O17" i="13" a="1"/>
  <c r="R9" i="13" a="1"/>
  <c r="H20" i="13" a="1"/>
  <c r="R26" i="13" a="1"/>
  <c r="S23" i="13" a="1"/>
  <c r="F27" i="13" a="1"/>
  <c r="H18" i="13" a="1"/>
  <c r="T30" i="13" a="1"/>
  <c r="L11" i="13" a="1"/>
  <c r="S6" i="13" a="1"/>
  <c r="O25" i="13" a="1"/>
  <c r="S11" i="13" a="1"/>
  <c r="R19" i="13" a="1"/>
  <c r="R15" i="13" a="1"/>
  <c r="S8" i="13" a="1"/>
  <c r="M22" i="13" l="1"/>
  <c r="N22" i="13" s="1"/>
  <c r="M10" i="13"/>
  <c r="N10" i="13" s="1"/>
  <c r="N11" i="13"/>
  <c r="M12" i="13"/>
  <c r="N12" i="13" s="1"/>
  <c r="N13" i="13"/>
  <c r="M14" i="13"/>
  <c r="N14" i="13" s="1"/>
  <c r="M28" i="13"/>
  <c r="N28" i="13" s="1"/>
  <c r="M15" i="13"/>
  <c r="N15" i="13" s="1"/>
  <c r="M16" i="13"/>
  <c r="N16" i="13" s="1"/>
  <c r="K22" i="13"/>
  <c r="M23" i="13"/>
  <c r="N23" i="13" s="1"/>
  <c r="M8" i="13"/>
  <c r="N8" i="13" s="1"/>
  <c r="M25" i="13"/>
  <c r="N25" i="13" s="1"/>
  <c r="N26" i="13"/>
  <c r="M19" i="13"/>
  <c r="N19" i="13" s="1"/>
  <c r="N6" i="13"/>
  <c r="M21" i="13"/>
  <c r="N21" i="13" s="1"/>
  <c r="M9" i="13"/>
  <c r="N9" i="13" s="1"/>
  <c r="M24" i="13"/>
  <c r="N24" i="13" s="1"/>
  <c r="M27" i="13"/>
  <c r="N27" i="13" s="1"/>
  <c r="M17" i="13"/>
  <c r="N17" i="13" s="1"/>
  <c r="K25" i="13"/>
  <c r="K28" i="13"/>
  <c r="K20" i="13"/>
  <c r="K12" i="13"/>
  <c r="K9" i="13"/>
  <c r="K18" i="13"/>
  <c r="K16" i="13"/>
  <c r="U8" i="13"/>
  <c r="D30" i="13"/>
  <c r="M30" i="13" s="1"/>
  <c r="N30" i="13" s="1"/>
  <c r="K11" i="13"/>
  <c r="G6" i="13"/>
  <c r="K8" i="13"/>
  <c r="K10" i="13"/>
  <c r="K7" i="13"/>
  <c r="K15" i="13"/>
  <c r="K29" i="13"/>
  <c r="K23" i="13"/>
  <c r="K30" i="13"/>
  <c r="K24" i="13"/>
  <c r="K17" i="13"/>
  <c r="K13" i="13"/>
  <c r="G30" i="13"/>
  <c r="K6" i="13"/>
  <c r="F21" i="13"/>
  <c r="G21" i="13" s="1"/>
  <c r="U22" i="13"/>
  <c r="F11" i="13"/>
  <c r="G11" i="13" s="1"/>
  <c r="F28" i="13"/>
  <c r="G28" i="13" s="1"/>
  <c r="U29" i="13"/>
  <c r="G29" i="13"/>
  <c r="F12" i="13"/>
  <c r="G12" i="13" s="1"/>
  <c r="F19" i="13"/>
  <c r="G19" i="13" s="1"/>
  <c r="F13" i="13"/>
  <c r="G13" i="13" s="1"/>
  <c r="F24" i="13"/>
  <c r="G24" i="13" s="1"/>
  <c r="F9" i="13"/>
  <c r="G9" i="13" s="1"/>
  <c r="F10" i="13"/>
  <c r="G10" i="13" s="1"/>
  <c r="F22" i="13"/>
  <c r="G22" i="13" s="1"/>
  <c r="F23" i="13"/>
  <c r="G23" i="13" s="1"/>
  <c r="F14" i="13"/>
  <c r="G14" i="13" s="1"/>
  <c r="F25" i="13"/>
  <c r="G25" i="13" s="1"/>
  <c r="F15" i="13"/>
  <c r="G15" i="13" s="1"/>
  <c r="F26" i="13"/>
  <c r="G26" i="13" s="1"/>
  <c r="F16" i="13"/>
  <c r="G16" i="13" s="1"/>
  <c r="F27" i="13"/>
  <c r="G27" i="13" s="1"/>
  <c r="F17" i="13"/>
  <c r="G17" i="13" s="1"/>
  <c r="F18" i="13"/>
  <c r="G18" i="13" s="1"/>
  <c r="F8" i="13"/>
  <c r="G8" i="13" s="1"/>
  <c r="F20" i="13"/>
  <c r="G20" i="13" s="1"/>
  <c r="C11" i="13"/>
  <c r="C28" i="13"/>
  <c r="C29" i="13"/>
  <c r="C12" i="13"/>
  <c r="C21" i="13"/>
  <c r="C24" i="13"/>
  <c r="C19" i="13"/>
  <c r="C10" i="13"/>
  <c r="C22" i="13"/>
  <c r="C23" i="13"/>
  <c r="C13" i="13"/>
  <c r="C14" i="13"/>
  <c r="C25" i="13"/>
  <c r="C15" i="13"/>
  <c r="C26" i="13"/>
  <c r="C16" i="13"/>
  <c r="C27" i="13"/>
  <c r="C17" i="13"/>
  <c r="C18" i="13"/>
  <c r="C8" i="13"/>
  <c r="C9" i="13"/>
  <c r="C20" i="13"/>
  <c r="F7" i="13"/>
  <c r="G7" i="13" s="1"/>
  <c r="C7" i="13"/>
  <c r="C6" i="13"/>
  <c r="U15" i="13"/>
  <c r="U27" i="13"/>
  <c r="U20" i="13"/>
  <c r="U26" i="13"/>
  <c r="U17" i="13"/>
  <c r="H16" i="13"/>
  <c r="S29" i="13"/>
  <c r="O15" i="13"/>
  <c r="Q15" i="13" s="1"/>
  <c r="S8" i="13"/>
  <c r="R19" i="13"/>
  <c r="R20" i="13"/>
  <c r="S23" i="13"/>
  <c r="AA23" i="13" s="1"/>
  <c r="T21" i="13"/>
  <c r="T6" i="13"/>
  <c r="T8" i="13"/>
  <c r="S9" i="13"/>
  <c r="R10" i="13"/>
  <c r="O11" i="13"/>
  <c r="Q11" i="13" s="1"/>
  <c r="L12" i="13"/>
  <c r="S19" i="13"/>
  <c r="AA19" i="13" s="1"/>
  <c r="T22" i="13"/>
  <c r="H30" i="13"/>
  <c r="T18" i="13"/>
  <c r="S11" i="13"/>
  <c r="R12" i="13"/>
  <c r="L30" i="13"/>
  <c r="T11" i="13"/>
  <c r="S12" i="13"/>
  <c r="R13" i="13"/>
  <c r="S30" i="13"/>
  <c r="T10" i="13"/>
  <c r="AB10" i="13" s="1"/>
  <c r="O14" i="13"/>
  <c r="Q14" i="13" s="1"/>
  <c r="H27" i="13"/>
  <c r="L29" i="13"/>
  <c r="L15" i="13"/>
  <c r="W15" i="13" s="1"/>
  <c r="L16" i="13"/>
  <c r="H23" i="13"/>
  <c r="R16" i="13"/>
  <c r="O25" i="13"/>
  <c r="Q25" i="13" s="1"/>
  <c r="R26" i="13"/>
  <c r="R27" i="13"/>
  <c r="T28" i="13"/>
  <c r="U18" i="13"/>
  <c r="O7" i="13"/>
  <c r="Q7" i="13" s="1"/>
  <c r="H17" i="13"/>
  <c r="L8" i="13"/>
  <c r="V9" i="13"/>
  <c r="S15" i="13"/>
  <c r="O6" i="13"/>
  <c r="Q6" i="13" s="1"/>
  <c r="L19" i="13"/>
  <c r="L22" i="13"/>
  <c r="R23" i="13"/>
  <c r="R24" i="13"/>
  <c r="O28" i="13"/>
  <c r="Q28" i="13" s="1"/>
  <c r="T14" i="13"/>
  <c r="H20" i="13"/>
  <c r="M20" i="13" s="1"/>
  <c r="N20" i="13" s="1"/>
  <c r="T7" i="13"/>
  <c r="O8" i="13"/>
  <c r="Q8" i="13" s="1"/>
  <c r="L9" i="13"/>
  <c r="T15" i="13"/>
  <c r="S16" i="13"/>
  <c r="R17" i="13"/>
  <c r="O18" i="13"/>
  <c r="Q18" i="13" s="1"/>
  <c r="O21" i="13"/>
  <c r="Q21" i="13" s="1"/>
  <c r="T24" i="13"/>
  <c r="S25" i="13"/>
  <c r="S26" i="13"/>
  <c r="AA26" i="13" s="1"/>
  <c r="L26" i="13"/>
  <c r="S6" i="13"/>
  <c r="R9" i="13"/>
  <c r="T17" i="13"/>
  <c r="S22" i="13"/>
  <c r="S18" i="13"/>
  <c r="T25" i="13"/>
  <c r="L23" i="13"/>
  <c r="O9" i="13"/>
  <c r="Q9" i="13" s="1"/>
  <c r="S7" i="13"/>
  <c r="R8" i="13"/>
  <c r="T13" i="13"/>
  <c r="AB13" i="13" s="1"/>
  <c r="S14" i="13"/>
  <c r="R15" i="13"/>
  <c r="O10" i="13"/>
  <c r="Q10" i="13" s="1"/>
  <c r="L11" i="13"/>
  <c r="O17" i="13"/>
  <c r="Q17" i="13" s="1"/>
  <c r="L18" i="13"/>
  <c r="H19" i="13"/>
  <c r="O24" i="13"/>
  <c r="Q24" i="13" s="1"/>
  <c r="L25" i="13"/>
  <c r="R30" i="13"/>
  <c r="T29" i="13"/>
  <c r="O12" i="13"/>
  <c r="Q12" i="13" s="1"/>
  <c r="H14" i="13"/>
  <c r="O19" i="13"/>
  <c r="Q19" i="13" s="1"/>
  <c r="H21" i="13"/>
  <c r="L27" i="13"/>
  <c r="H28" i="13"/>
  <c r="V28" i="13" s="1"/>
  <c r="R6" i="13"/>
  <c r="T9" i="13"/>
  <c r="S10" i="13"/>
  <c r="R11" i="13"/>
  <c r="T16" i="13"/>
  <c r="S17" i="13"/>
  <c r="R18" i="13"/>
  <c r="T23" i="13"/>
  <c r="U24" i="13"/>
  <c r="S24" i="13"/>
  <c r="R25" i="13"/>
  <c r="L13" i="13"/>
  <c r="L20" i="13"/>
  <c r="O26" i="13"/>
  <c r="Q26" i="13" s="1"/>
  <c r="T30" i="13"/>
  <c r="L7" i="13"/>
  <c r="W7" i="13" s="1"/>
  <c r="O13" i="13"/>
  <c r="Q13" i="13" s="1"/>
  <c r="L14" i="13"/>
  <c r="H15" i="13"/>
  <c r="O20" i="13"/>
  <c r="Q20" i="13" s="1"/>
  <c r="L21" i="13"/>
  <c r="H22" i="13"/>
  <c r="O27" i="13"/>
  <c r="Q27" i="13" s="1"/>
  <c r="L28" i="13"/>
  <c r="H29" i="13"/>
  <c r="M29" i="13" s="1"/>
  <c r="O22" i="13"/>
  <c r="Q22" i="13" s="1"/>
  <c r="H24" i="13"/>
  <c r="O29" i="13"/>
  <c r="Q29" i="13" s="1"/>
  <c r="Z29" i="13" s="1"/>
  <c r="R7" i="13"/>
  <c r="T12" i="13"/>
  <c r="S13" i="13"/>
  <c r="R14" i="13"/>
  <c r="T19" i="13"/>
  <c r="S20" i="13"/>
  <c r="R21" i="13"/>
  <c r="T26" i="13"/>
  <c r="S27" i="13"/>
  <c r="R28" i="13"/>
  <c r="O30" i="13"/>
  <c r="Q30" i="13" s="1"/>
  <c r="L10" i="13"/>
  <c r="W10" i="13" s="1"/>
  <c r="V11" i="13"/>
  <c r="O16" i="13"/>
  <c r="Q16" i="13" s="1"/>
  <c r="L17" i="13"/>
  <c r="H18" i="13"/>
  <c r="M18" i="13" s="1"/>
  <c r="N18" i="13" s="1"/>
  <c r="O23" i="13"/>
  <c r="Q23" i="13" s="1"/>
  <c r="L24" i="13"/>
  <c r="H25" i="13"/>
  <c r="T20" i="13"/>
  <c r="S21" i="13"/>
  <c r="R22" i="13"/>
  <c r="T27" i="13"/>
  <c r="S28" i="13"/>
  <c r="AA28" i="13" s="1"/>
  <c r="R29" i="13"/>
  <c r="Z26" i="13" l="1"/>
  <c r="AC26" i="13" s="1"/>
  <c r="N7" i="13"/>
  <c r="AB18" i="13"/>
  <c r="AB26" i="13"/>
  <c r="AB16" i="13"/>
  <c r="W24" i="13"/>
  <c r="AA17" i="13"/>
  <c r="AB28" i="13"/>
  <c r="AB23" i="13"/>
  <c r="V15" i="13"/>
  <c r="X15" i="13" s="1"/>
  <c r="Y15" i="13" s="1"/>
  <c r="W17" i="13"/>
  <c r="AB30" i="13"/>
  <c r="G31" i="13"/>
  <c r="V24" i="13"/>
  <c r="X24" i="13" s="1"/>
  <c r="AB27" i="13"/>
  <c r="V30" i="13"/>
  <c r="AB22" i="13"/>
  <c r="W21" i="13"/>
  <c r="AA20" i="13"/>
  <c r="AC20" i="13" s="1"/>
  <c r="V26" i="13"/>
  <c r="X26" i="13" s="1"/>
  <c r="W23" i="13"/>
  <c r="AA16" i="13"/>
  <c r="V22" i="13"/>
  <c r="X22" i="13" s="1"/>
  <c r="Z13" i="13"/>
  <c r="AA22" i="13"/>
  <c r="W14" i="13"/>
  <c r="AA13" i="13"/>
  <c r="V18" i="13"/>
  <c r="AB17" i="13"/>
  <c r="W28" i="13"/>
  <c r="Z14" i="13"/>
  <c r="U11" i="13"/>
  <c r="X11" i="13" s="1"/>
  <c r="U12" i="13"/>
  <c r="Z16" i="13"/>
  <c r="Z12" i="13"/>
  <c r="C33" i="13"/>
  <c r="Z27" i="13"/>
  <c r="Z23" i="13"/>
  <c r="AC23" i="13" s="1"/>
  <c r="Z15" i="13"/>
  <c r="V17" i="13"/>
  <c r="X17" i="13" s="1"/>
  <c r="Z20" i="13"/>
  <c r="Z7" i="13"/>
  <c r="AA7" i="13"/>
  <c r="U7" i="13"/>
  <c r="Z8" i="13"/>
  <c r="W8" i="13"/>
  <c r="AB7" i="13"/>
  <c r="U28" i="13"/>
  <c r="X28" i="13" s="1"/>
  <c r="Y28" i="13" s="1"/>
  <c r="U13" i="13"/>
  <c r="U23" i="13"/>
  <c r="AA29" i="13"/>
  <c r="AC29" i="13" s="1"/>
  <c r="V12" i="13"/>
  <c r="Z18" i="13"/>
  <c r="AA30" i="13"/>
  <c r="Z30" i="13"/>
  <c r="AC30" i="13" s="1"/>
  <c r="AD30" i="13" s="1"/>
  <c r="W11" i="13"/>
  <c r="U19" i="13"/>
  <c r="U25" i="13"/>
  <c r="W12" i="13"/>
  <c r="AA21" i="13"/>
  <c r="AA27" i="13"/>
  <c r="AA18" i="13"/>
  <c r="AB15" i="13"/>
  <c r="AA12" i="13"/>
  <c r="W25" i="13"/>
  <c r="W26" i="13"/>
  <c r="AB19" i="13"/>
  <c r="Z24" i="13"/>
  <c r="AA25" i="13"/>
  <c r="V20" i="13"/>
  <c r="X20" i="13" s="1"/>
  <c r="W18" i="13"/>
  <c r="X18" i="13"/>
  <c r="Z17" i="13"/>
  <c r="AB14" i="13"/>
  <c r="U21" i="13"/>
  <c r="V7" i="13"/>
  <c r="AA9" i="13"/>
  <c r="AB29" i="13"/>
  <c r="W19" i="13"/>
  <c r="W30" i="13"/>
  <c r="Z22" i="13"/>
  <c r="W20" i="13"/>
  <c r="U10" i="13"/>
  <c r="AA14" i="13"/>
  <c r="V10" i="13"/>
  <c r="W16" i="13"/>
  <c r="Z9" i="13"/>
  <c r="W29" i="13"/>
  <c r="Z21" i="13"/>
  <c r="V27" i="13"/>
  <c r="X27" i="13" s="1"/>
  <c r="W22" i="13"/>
  <c r="AB11" i="13"/>
  <c r="AB20" i="13"/>
  <c r="AA10" i="13"/>
  <c r="V23" i="13"/>
  <c r="AB8" i="13"/>
  <c r="V25" i="13"/>
  <c r="V29" i="13"/>
  <c r="X29" i="13" s="1"/>
  <c r="W13" i="13"/>
  <c r="AB9" i="13"/>
  <c r="U14" i="13"/>
  <c r="W9" i="13"/>
  <c r="AA15" i="13"/>
  <c r="AA11" i="13"/>
  <c r="AB21" i="13"/>
  <c r="AA24" i="13"/>
  <c r="V19" i="13"/>
  <c r="AA8" i="13"/>
  <c r="AB24" i="13"/>
  <c r="W27" i="13"/>
  <c r="V21" i="13"/>
  <c r="Z28" i="13"/>
  <c r="AC28" i="13" s="1"/>
  <c r="V13" i="13"/>
  <c r="AB12" i="13"/>
  <c r="Z19" i="13"/>
  <c r="AC19" i="13" s="1"/>
  <c r="U30" i="13"/>
  <c r="U16" i="13"/>
  <c r="U9" i="13"/>
  <c r="X9" i="13" s="1"/>
  <c r="Y9" i="13" s="1"/>
  <c r="V8" i="13"/>
  <c r="X8" i="13" s="1"/>
  <c r="V14" i="13"/>
  <c r="Z10" i="13"/>
  <c r="AB25" i="13"/>
  <c r="Z25" i="13"/>
  <c r="Z11" i="13"/>
  <c r="V16" i="13"/>
  <c r="AC13" i="13" l="1"/>
  <c r="AD13" i="13" s="1"/>
  <c r="AC17" i="13"/>
  <c r="AD17" i="13" s="1"/>
  <c r="AC11" i="13"/>
  <c r="AD11" i="13" s="1"/>
  <c r="Y17" i="13"/>
  <c r="AC22" i="13"/>
  <c r="AD22" i="13" s="1"/>
  <c r="AD26" i="13"/>
  <c r="Y24" i="13"/>
  <c r="AD23" i="13"/>
  <c r="AD28" i="13"/>
  <c r="X30" i="13"/>
  <c r="Y30" i="13" s="1"/>
  <c r="AC16" i="13"/>
  <c r="AD16" i="13" s="1"/>
  <c r="AC15" i="13"/>
  <c r="AD15" i="13" s="1"/>
  <c r="X12" i="13"/>
  <c r="Y12" i="13" s="1"/>
  <c r="AC12" i="13"/>
  <c r="AD12" i="13" s="1"/>
  <c r="AC14" i="13"/>
  <c r="AD14" i="13"/>
  <c r="C34" i="13"/>
  <c r="X23" i="13"/>
  <c r="Y23" i="13" s="1"/>
  <c r="Y8" i="13"/>
  <c r="X7" i="13"/>
  <c r="Y7" i="13" s="1"/>
  <c r="AC10" i="13"/>
  <c r="AD10" i="13" s="1"/>
  <c r="AC27" i="13"/>
  <c r="AD27" i="13" s="1"/>
  <c r="AC7" i="13"/>
  <c r="AD7" i="13" s="1"/>
  <c r="AD20" i="13"/>
  <c r="Y20" i="13"/>
  <c r="C36" i="13"/>
  <c r="AD29" i="13"/>
  <c r="X19" i="13"/>
  <c r="Y19" i="13" s="1"/>
  <c r="AC25" i="13"/>
  <c r="AD25" i="13" s="1"/>
  <c r="X13" i="13"/>
  <c r="Y13" i="13" s="1"/>
  <c r="Y27" i="13"/>
  <c r="AC24" i="13"/>
  <c r="AD24" i="13" s="1"/>
  <c r="X14" i="13"/>
  <c r="Y14" i="13" s="1"/>
  <c r="AC9" i="13"/>
  <c r="AD9" i="13" s="1"/>
  <c r="Y11" i="13"/>
  <c r="C41" i="13"/>
  <c r="AC8" i="13"/>
  <c r="AD8" i="13" s="1"/>
  <c r="Y29" i="13"/>
  <c r="C40" i="13"/>
  <c r="X10" i="13"/>
  <c r="Y10" i="13" s="1"/>
  <c r="X16" i="13"/>
  <c r="Y16" i="13" s="1"/>
  <c r="X21" i="13"/>
  <c r="Y21" i="13" s="1"/>
  <c r="Y22" i="13"/>
  <c r="AD19" i="13"/>
  <c r="C39" i="13"/>
  <c r="X25" i="13"/>
  <c r="Y25" i="13" s="1"/>
  <c r="C35" i="13"/>
  <c r="Y26" i="13"/>
  <c r="AC21" i="13"/>
  <c r="AD21" i="13" s="1"/>
  <c r="Y18" i="13"/>
  <c r="AC18" i="13"/>
  <c r="AD18" i="13" s="1"/>
  <c r="C38" i="13" l="1"/>
  <c r="C43" i="13"/>
  <c r="C37" i="13"/>
  <c r="C42" i="13"/>
  <c r="B10" i="9" l="1"/>
  <c r="B9" i="9"/>
  <c r="B8" i="9"/>
  <c r="B7" i="9"/>
  <c r="B6" i="9"/>
  <c r="B5" i="9"/>
  <c r="J20" i="7"/>
  <c r="I20" i="7"/>
  <c r="H20" i="7"/>
  <c r="D20" i="7"/>
  <c r="J19" i="7"/>
  <c r="I19" i="7"/>
  <c r="H19" i="7"/>
  <c r="D19" i="7"/>
  <c r="J18" i="7"/>
  <c r="I18" i="7"/>
  <c r="H18" i="7"/>
  <c r="D18" i="7"/>
  <c r="J17" i="7"/>
  <c r="I17" i="7"/>
  <c r="H17" i="7"/>
  <c r="D17" i="7"/>
  <c r="J16" i="7"/>
  <c r="I16" i="7"/>
  <c r="H16" i="7"/>
  <c r="D16" i="7"/>
  <c r="J15" i="7"/>
  <c r="I15" i="7"/>
  <c r="H15" i="7"/>
  <c r="D15" i="7"/>
  <c r="J14" i="7"/>
  <c r="I14" i="7"/>
  <c r="H14" i="7"/>
  <c r="D14" i="7"/>
  <c r="D53" i="6"/>
  <c r="F38" i="6"/>
  <c r="H38" i="6" s="1"/>
  <c r="F37" i="6"/>
  <c r="H37" i="6" s="1"/>
  <c r="F36" i="6"/>
  <c r="H35" i="6" s="1"/>
  <c r="F35" i="6"/>
  <c r="H36" i="6" s="1"/>
  <c r="B21" i="6"/>
  <c r="B22" i="6" s="1"/>
  <c r="D13" i="6"/>
  <c r="D12" i="6"/>
  <c r="D11" i="6"/>
  <c r="D10" i="6"/>
  <c r="D9" i="6"/>
  <c r="D8" i="6"/>
  <c r="D7" i="6"/>
  <c r="D6" i="6"/>
  <c r="D14" i="6" s="1"/>
  <c r="E43" i="5"/>
  <c r="D43" i="5"/>
  <c r="E42" i="5"/>
  <c r="D42" i="5"/>
  <c r="E41" i="5"/>
  <c r="D41" i="5"/>
  <c r="B11" i="9"/>
  <c r="L15" i="7" l="1"/>
  <c r="L17" i="7"/>
  <c r="L20" i="7"/>
  <c r="L16" i="7"/>
  <c r="L18" i="7"/>
  <c r="B23" i="6"/>
  <c r="B24" i="6" s="1"/>
  <c r="L19" i="7"/>
  <c r="L14" i="7"/>
  <c r="I43" i="6"/>
  <c r="I42" i="6"/>
  <c r="I41" i="6"/>
  <c r="I40" i="6"/>
  <c r="I39" i="6"/>
  <c r="I45" i="6"/>
  <c r="I38" i="6"/>
  <c r="I44" i="6"/>
  <c r="I46" i="6" l="1"/>
  <c r="B42" i="5" l="1"/>
  <c r="B43" i="5"/>
  <c r="B18" i="9"/>
  <c r="C18" i="9" s="1"/>
  <c r="B17" i="9"/>
  <c r="C17" i="9" s="1"/>
  <c r="E43" i="6"/>
  <c r="E42" i="6"/>
  <c r="E41" i="6"/>
  <c r="E40" i="6"/>
  <c r="E44" i="6"/>
  <c r="E39" i="6"/>
  <c r="E45" i="6"/>
  <c r="E38" i="6"/>
  <c r="B16" i="9" l="1"/>
  <c r="C16" i="9" s="1"/>
  <c r="B41" i="5" l="1"/>
  <c r="B20" i="9" l="1"/>
  <c r="C20" i="9"/>
  <c r="B19" i="9"/>
  <c r="C19" i="9"/>
  <c r="B24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tc={BDA69F98-F9DD-4AE8-B292-B46BAF881BE4}</author>
  </authors>
  <commentList>
    <comment ref="B1" authorId="0" shapeId="0" xr:uid="{BDA69F98-F9DD-4AE8-B292-B46BAF881BE4}">
      <text>
        <t>[Threaded comment]
Your version of Excel allows you to read this threaded comment; however, any edits to it will get removed if the file is opened in a newer version of Excel. Learn more: https://go.microsoft.com/fwlink/?linkid=870924
[Tasks]
There is a task anchored to this comment that cannot be viewed in your client.
Comment:
    @Edmar Boechat como fazemos para sumrizar os alarmes e eventos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<sst xmlns="http://schemas.openxmlformats.org/spreadsheetml/2006/main" count="877" uniqueCount="563">
  <si>
    <t>Planilha de Calibração MPFM (End-to-End) – Bacalhau</t>
  </si>
  <si>
    <t>Objetivo</t>
  </si>
  <si>
    <t>Registrar, calcular e auditar a calibração (k-factors) do MPFM com base em totalização mínima de 24h, atualização PVT e validações do FCS320.</t>
  </si>
  <si>
    <t>Como usar (resumo)</t>
  </si>
  <si>
    <t>1) Preencha 01_Registro → 2) Registre/valide 02_PVT → 3) Colete totalizadores em 03_24h_Totalizadores → 4) Revise cálculos em 04_K_Fatores → 5) Verifique balanços/envelopes em 05_... → 6) Acompanhe pós-fatores em 06_... → 7) Log de alarmes em 07_...</t>
  </si>
  <si>
    <t>Legenda de cores</t>
  </si>
  <si>
    <t>Azul = entrada (usuário) | Preto = cálculo | Laranja = atenção | Vermelho = fora do limite</t>
  </si>
  <si>
    <t>Documentos base (referência)</t>
  </si>
  <si>
    <t>RANP 44/2015; Relatórios/Procedimentos de Comissionamento e Especificações (TechnipFMC/Guidant).</t>
  </si>
  <si>
    <t xml:space="preserve">FORMULÁRIO CALIBRAÇÃO MPFM </t>
  </si>
  <si>
    <t>01 – Registro do Evento / Instrumento (Rastreabilidade)</t>
  </si>
  <si>
    <t>Identificação do Responsável e Autoridade</t>
  </si>
  <si>
    <t>ID do Evento/Relatório</t>
  </si>
  <si>
    <t>Status</t>
  </si>
  <si>
    <t>Resultado</t>
  </si>
  <si>
    <t>Ordem de Serviço (S.O.)</t>
  </si>
  <si>
    <t>Responsável Calibração – Nome/Cargo</t>
  </si>
  <si>
    <t>Preenchido por - Nome/Cargo</t>
  </si>
  <si>
    <t>Data de Emissão</t>
  </si>
  <si>
    <t>Dados da Instalação</t>
  </si>
  <si>
    <t>Unidade / FPSO</t>
  </si>
  <si>
    <t>Bacia / Campo</t>
  </si>
  <si>
    <t>Localização na Planta</t>
  </si>
  <si>
    <t>Referência Metrológica (Autorizada)</t>
  </si>
  <si>
    <t>Identificação do Instrumento (MPFM)</t>
  </si>
  <si>
    <t>TAG do MPFM</t>
  </si>
  <si>
    <t>Número de Série (S/N)</t>
  </si>
  <si>
    <t>Fabricante / Modelo</t>
  </si>
  <si>
    <t>Tamanho / Razão Beta</t>
  </si>
  <si>
    <t>Modo de Medição Ativo</t>
  </si>
  <si>
    <t>Sitema</t>
  </si>
  <si>
    <t>Configuração de Software e Integridade</t>
  </si>
  <si>
    <t>Versão de Software (Medidor)</t>
  </si>
  <si>
    <t>Versão do Computador de Vazão FPM207</t>
  </si>
  <si>
    <t>Versão do Software FCS320</t>
  </si>
  <si>
    <t>Software de Simulação (Calsep PVTsim)</t>
  </si>
  <si>
    <t>Escopo e Período do Teste de Calibração</t>
  </si>
  <si>
    <t>Natureza da Atividade (Comissionamento / Recalibração / Desvio)</t>
  </si>
  <si>
    <t>Início da Totalização (24h)</t>
  </si>
  <si>
    <t>Início da Estabilização (dd/mm/aaaa hh:mm)</t>
  </si>
  <si>
    <t>Fim da Totalização</t>
  </si>
  <si>
    <t>ID do Evento de Desvio (se aplicável)</t>
  </si>
  <si>
    <t>Duração Total Efetiva (h) – calculada</t>
  </si>
  <si>
    <t>Comentários Gerais</t>
  </si>
  <si>
    <t>Condições de Contorno</t>
  </si>
  <si>
    <t>GVF% (mín–máx)</t>
  </si>
  <si>
    <t>BSW % (mín–máx)</t>
  </si>
  <si>
    <t>Salinidade mg/L (mín–máx)</t>
  </si>
  <si>
    <t>Vazões mássicas (mín–máx) por fase</t>
  </si>
  <si>
    <t>Vazões volumétricas (mín–máx) por fase</t>
  </si>
  <si>
    <t>Pressão (mín–máx)</t>
  </si>
  <si>
    <t>Temperatura (mín–máx)</t>
  </si>
  <si>
    <t>Densidade e viscosidade (faixas)</t>
  </si>
  <si>
    <t xml:space="preserve">45FT0360 </t>
  </si>
  <si>
    <t>Piloto</t>
  </si>
  <si>
    <t>Hour</t>
  </si>
  <si>
    <t>Pressure</t>
  </si>
  <si>
    <t>Temperature</t>
  </si>
  <si>
    <t>SD</t>
  </si>
  <si>
    <t>DT</t>
  </si>
  <si>
    <t>Composição</t>
  </si>
  <si>
    <t>Gr,</t>
  </si>
  <si>
    <t>St,</t>
  </si>
  <si>
    <t>St</t>
  </si>
  <si>
    <t>Mass</t>
  </si>
  <si>
    <t>Energy</t>
  </si>
  <si>
    <t>Diff,</t>
  </si>
  <si>
    <t>Flowtime</t>
  </si>
  <si>
    <t>Descrição</t>
  </si>
  <si>
    <t>kPa(a)</t>
  </si>
  <si>
    <t>°C</t>
  </si>
  <si>
    <t>kg/sm3</t>
  </si>
  <si>
    <t>kg/m3</t>
  </si>
  <si>
    <t>Base Density</t>
  </si>
  <si>
    <t>Line Density</t>
  </si>
  <si>
    <t>m3</t>
  </si>
  <si>
    <t>Kg</t>
  </si>
  <si>
    <t>GJ</t>
  </si>
  <si>
    <t>kPa</t>
  </si>
  <si>
    <t>min</t>
  </si>
  <si>
    <t>N2</t>
  </si>
  <si>
    <t>CO2</t>
  </si>
  <si>
    <t>H2S</t>
  </si>
  <si>
    <t>Pipe Diameter</t>
  </si>
  <si>
    <t>mm</t>
  </si>
  <si>
    <t>C1</t>
  </si>
  <si>
    <t>Pipe Coeficient</t>
  </si>
  <si>
    <t>mm/mmºC</t>
  </si>
  <si>
    <t>C2</t>
  </si>
  <si>
    <t>Orifice Temp</t>
  </si>
  <si>
    <t>ºC</t>
  </si>
  <si>
    <t>C3</t>
  </si>
  <si>
    <t>iC4</t>
  </si>
  <si>
    <t>Orifice Diameter</t>
  </si>
  <si>
    <t>nC4</t>
  </si>
  <si>
    <t>Orifice Coefitient</t>
  </si>
  <si>
    <t>iC5</t>
  </si>
  <si>
    <t>nC5</t>
  </si>
  <si>
    <t>C6</t>
  </si>
  <si>
    <t>Dinamic Viscosity</t>
  </si>
  <si>
    <t>Cp</t>
  </si>
  <si>
    <t>C7</t>
  </si>
  <si>
    <t>Diferential</t>
  </si>
  <si>
    <t>mbar</t>
  </si>
  <si>
    <t>C8</t>
  </si>
  <si>
    <t>downstream temp</t>
  </si>
  <si>
    <t>C9</t>
  </si>
  <si>
    <t>Upstream Pressure</t>
  </si>
  <si>
    <t>bar</t>
  </si>
  <si>
    <t>C10+</t>
  </si>
  <si>
    <t>Upstream Density</t>
  </si>
  <si>
    <t>Standard Density</t>
  </si>
  <si>
    <t>kg/Sm3</t>
  </si>
  <si>
    <t>Isoentropic Exponent</t>
  </si>
  <si>
    <t>Tem que adicionar na AGA 8</t>
  </si>
  <si>
    <t>02.1 - Histórico da PVT anterior e parâmetros correlatos -  AS FOUND</t>
  </si>
  <si>
    <t>Identificação do Relatório PVT - As Found</t>
  </si>
  <si>
    <t>ID do Relatório Laboratorial</t>
  </si>
  <si>
    <t>Data da Amostragem</t>
  </si>
  <si>
    <t>Ponto de Amostragem</t>
  </si>
  <si>
    <t>Software de Modelagem (PVTSim/Multiflash/etc.)</t>
  </si>
  <si>
    <t>Versão/Arquivo do Modelo (ex.: .mfl/.fdb)</t>
  </si>
  <si>
    <t>Status de Aprovação Técnica 
(PVT GROUP / Especialista PVT)</t>
  </si>
  <si>
    <t>Data de Aprovação</t>
  </si>
  <si>
    <t>Comentários</t>
  </si>
  <si>
    <t>Propriedades de Referência (@std) e entradas simplificadas (quando aplicável)</t>
  </si>
  <si>
    <t>Parâmetro</t>
  </si>
  <si>
    <t>Unid.</t>
  </si>
  <si>
    <t>Valor (entrada)</t>
  </si>
  <si>
    <t>Observação/Fonte</t>
  </si>
  <si>
    <t>Densidade Óleo @std</t>
  </si>
  <si>
    <t>kg/m³</t>
  </si>
  <si>
    <t>Tabela C10 / Relatório PVT</t>
  </si>
  <si>
    <t>Densidade Gás @std</t>
  </si>
  <si>
    <t>Densidade Água @std</t>
  </si>
  <si>
    <t>RGO (Razão Gás-Óleo) @std</t>
  </si>
  <si>
    <t>Sm³/Sm³</t>
  </si>
  <si>
    <t>Relatório PVT / amostra</t>
  </si>
  <si>
    <t>Condutividade água formação</t>
  </si>
  <si>
    <t>µS/cm</t>
  </si>
  <si>
    <t>Base de dados / lab</t>
  </si>
  <si>
    <t>Densidade água formação @std</t>
  </si>
  <si>
    <t>Salinidade típica (NaCl)</t>
  </si>
  <si>
    <t>g/L</t>
  </si>
  <si>
    <t>Composição molar (mol%) – entrada e checagem de normalização</t>
  </si>
  <si>
    <t>Componente</t>
  </si>
  <si>
    <t>Massa Molar (kg/kmol)</t>
  </si>
  <si>
    <t>mol% (entrada)</t>
  </si>
  <si>
    <t>mol% (normalizado)</t>
  </si>
  <si>
    <t>I-C4</t>
  </si>
  <si>
    <t>N-C4</t>
  </si>
  <si>
    <t>I-C5</t>
  </si>
  <si>
    <t>N-C5</t>
  </si>
  <si>
    <t>C10+ mol wgt</t>
  </si>
  <si>
    <t>C10+ Density (gr/cc)</t>
  </si>
  <si>
    <t>C7 MolWt</t>
  </si>
  <si>
    <t>C8 MolWt</t>
  </si>
  <si>
    <t>C9 MolWt</t>
  </si>
  <si>
    <t>C10+ MolWt</t>
  </si>
  <si>
    <t>C7 Density (kg/Sm3)</t>
  </si>
  <si>
    <t>C8 Density (kg/Sm3)</t>
  </si>
  <si>
    <t>C9 Density (kg/Sm3)</t>
  </si>
  <si>
    <t>C10+ Density (kg/Sm3)</t>
  </si>
  <si>
    <t>-</t>
  </si>
  <si>
    <t>Fatores Peneloux (volume shift) – quando aplicável</t>
  </si>
  <si>
    <t>Fator</t>
  </si>
  <si>
    <t>Função</t>
  </si>
  <si>
    <t>Peneloux 1</t>
  </si>
  <si>
    <t>Correção densidade fase gás</t>
  </si>
  <si>
    <t>Peneloux 2</t>
  </si>
  <si>
    <t>Correção densidade fase óleo</t>
  </si>
  <si>
    <t>Controle de aplicação do novo PVT (evidência operacional)</t>
  </si>
  <si>
    <t>Item</t>
  </si>
  <si>
    <t>Valor</t>
  </si>
  <si>
    <t>Status do PVT no MPFM (Terminal MPM)</t>
  </si>
  <si>
    <t>Status do PVT no FCS320</t>
  </si>
  <si>
    <t>Pressão de Linha (MPFM) durante calibração (barg)</t>
  </si>
  <si>
    <t>Temperatura de Linha (MPFM) durante calibração (°C)</t>
  </si>
  <si>
    <t>Estabilização do Fluxo confirmada?</t>
  </si>
  <si>
    <t>02 – Atualização PVT (Nova caracterização) e parâmetros correlatos - NOVO RESULTADO</t>
  </si>
  <si>
    <t>Identificação do Relatório PVT / Amostragem</t>
  </si>
  <si>
    <t>Fator de encolhimento do óleo</t>
  </si>
  <si>
    <t>Pressão de Linha (MPFM) durante calibração (kPa)</t>
  </si>
  <si>
    <t>Pressão da Referência (Separador) durante calibração (kPa)</t>
  </si>
  <si>
    <t>Temperatura da Referência (Separador) durante calibração (°C)</t>
  </si>
  <si>
    <t>03 – Totalizadores / Horário (mínimo 24h) – cálculo automático de massas por período</t>
  </si>
  <si>
    <t>Dica: preencha Data/Hora e leituras de totalizador (t) nos pontos de amostragem. As deltas e totais de 24h são calculados automaticamente.</t>
  </si>
  <si>
    <t>Data/Hora Início</t>
  </si>
  <si>
    <t>Data/Hora Fim</t>
  </si>
  <si>
    <t>Δt (h)</t>
  </si>
  <si>
    <t>MPFM SUBSEA
Óleo Corr (t)</t>
  </si>
  <si>
    <t>TOTALIZADO 
Início óleo (t)</t>
  </si>
  <si>
    <t>TOTALIZADO 
Fim óleo (t)</t>
  </si>
  <si>
    <t>Diferença (t)</t>
  </si>
  <si>
    <t>MPFM Subsea
 Gás Corr (t)</t>
  </si>
  <si>
    <t>TOTALIZADO 
Início gás (t)</t>
  </si>
  <si>
    <t>TOTALIZADO 
Fim gás (t)</t>
  </si>
  <si>
    <t>MPFM SUBSEA
Água Corr (t)</t>
  </si>
  <si>
    <t>HC (t)</t>
  </si>
  <si>
    <t>Total (t)</t>
  </si>
  <si>
    <t>REF SEPARADOR TESTE
Óleo (m³)</t>
  </si>
  <si>
    <t>Density [kg/m3]</t>
  </si>
  <si>
    <t>REF SEPARADOR TESTE
Óleo CALC (t)</t>
  </si>
  <si>
    <t>REF SEPARADOR TESTE 
Óleo PI (t)</t>
  </si>
  <si>
    <t>REF SEPARADOR TESTE
 Gás (t)</t>
  </si>
  <si>
    <t>REF SEPARADOR TESTE
Água (t)</t>
  </si>
  <si>
    <t>MPFM Δ Óleo (t)</t>
  </si>
  <si>
    <t>MPFM Δ Gás (t)+X30</t>
  </si>
  <si>
    <t>MPFM Δ Água (t)</t>
  </si>
  <si>
    <t>MPFM Δ HC (t)</t>
  </si>
  <si>
    <t>MPFM Δ Total (t)</t>
  </si>
  <si>
    <t>REF Δ Óleo (kg)</t>
  </si>
  <si>
    <t>REF Δ Gás (kg)</t>
  </si>
  <si>
    <t>REF Δ Água (kg)</t>
  </si>
  <si>
    <t>REF Δ HC (kg)</t>
  </si>
  <si>
    <t>REF Δ Total (kg)</t>
  </si>
  <si>
    <t>Observações / Alarmes</t>
  </si>
  <si>
    <t>Totais (24h) – somatório das deltas (exceto primeira linha)</t>
  </si>
  <si>
    <t>Duração total (h)</t>
  </si>
  <si>
    <t>MPFM Massa Óleo (t)</t>
  </si>
  <si>
    <t>MPFM Massa Gás (t)</t>
  </si>
  <si>
    <t>MPFM Massa Água (t)</t>
  </si>
  <si>
    <t>MPFM Massa HC (t)</t>
  </si>
  <si>
    <t>MPFM Massa Total (t)</t>
  </si>
  <si>
    <t>REF Massa Óleo (t)</t>
  </si>
  <si>
    <t>REF Massa Gás (t)</t>
  </si>
  <si>
    <t>REF Massa Água (t)</t>
  </si>
  <si>
    <t>REF Massa HC (t)</t>
  </si>
  <si>
    <t>REF Massa Total (t)</t>
  </si>
  <si>
    <t>2601.20FQI0251PDM.PreviousDayMassTotal</t>
  </si>
  <si>
    <t>Production values</t>
  </si>
  <si>
    <t>Gas</t>
  </si>
  <si>
    <t>Oil</t>
  </si>
  <si>
    <t>Total</t>
  </si>
  <si>
    <t>Water</t>
  </si>
  <si>
    <t>MPFM conditions uncorrected mass</t>
  </si>
  <si>
    <t>[t]</t>
  </si>
  <si>
    <t>2601.18FT1506.Bank05.Gas.Stream03.MeterA.PH1.UncorrMass</t>
  </si>
  <si>
    <t>2601.18FT1506.Bank05.Oil.Stream03.MeterA.PH1.UncorrMass</t>
  </si>
  <si>
    <t>2601.18FT1506.Bank05.Water.Stream03.MeterA.PD1.UncorrMass</t>
  </si>
  <si>
    <t>MPFM conditions corrected mass</t>
  </si>
  <si>
    <t>2601.18FT1506.Bank05.Gas.Stream03.MeterA.PH1.CorrMass</t>
  </si>
  <si>
    <t>2601.18FT1506.Bank05.Oil.Stream03.MeterA.PH1.CorrMass</t>
  </si>
  <si>
    <t>2601.18FT1506.Bank05.Water.Stream03.MeterA.PD1.CorrMass</t>
  </si>
  <si>
    <t>MPFM conditions uncorrected volume</t>
  </si>
  <si>
    <t>[m³]</t>
  </si>
  <si>
    <t>2601.18FT1506.Bank05.Gas.Stream03.MeterA.PH1.UncorrVolume</t>
  </si>
  <si>
    <t>2601.18FT1506.Bank05.Oil.Stream03.MeterA.PH1.UncorrVolume</t>
  </si>
  <si>
    <t>2601.18FT1506.Bank05.Water.Stream03.MeterA.PD1.UncorrVolume</t>
  </si>
  <si>
    <t>STD conditions mass</t>
  </si>
  <si>
    <t>2601.18FT1506.Bank05.Gas.Stream03.MeterA.PH1.PVT.Mass</t>
  </si>
  <si>
    <t>2601.18FT1506.Bank05.Oil.Stream03.MeterA.PH1.PVT.Mass</t>
  </si>
  <si>
    <t>2601.18FT1506.Bank05.Water.Stream03.MeterA.PD1.PVT.Mass</t>
  </si>
  <si>
    <t>STD conditions volume</t>
  </si>
  <si>
    <t>[Sm³]</t>
  </si>
  <si>
    <t>2601.18FT1506.Bank05.Gas.Stream03.MeterA.PH1.PVT.RefVolume</t>
  </si>
  <si>
    <t>2601.18FT1506.Bank05.Oil.Stream03.MeterA.PD1.PVT.RefVolume</t>
  </si>
  <si>
    <t>2601.18FT1506.Bank05.Water.Stream03.MeterA.PD1.PVT.RefVolume</t>
  </si>
  <si>
    <t>2601.18FT1506.Bank05.Oil.Stream03.MeterA.PD1.CorrMass</t>
  </si>
  <si>
    <t>2601.18FT1506.Bank05.Water.Stream03.MeterA.PH1.UncorrMass</t>
  </si>
  <si>
    <t>2601.18FT1506.Bank05.Water.Stream03.MeterA.PH1.CorrMass</t>
  </si>
  <si>
    <t>2601.18FT1506.Bank05.Water.Stream03.MeterA.PH1.UncorrVolume</t>
  </si>
  <si>
    <t>2601.18FT1506.Bank05.Water.Stream03.MeterA.PH1.PVT.Mass</t>
  </si>
  <si>
    <t>2601.18FT1506.Bank05.Water.Stream03.MeterA.PH1.PVT.RefVolume</t>
  </si>
  <si>
    <t>Sep</t>
  </si>
  <si>
    <t>2601.20FQI0244PHM.PreviousHourMassTotal</t>
  </si>
  <si>
    <t>2601.20FQI0251PHM.PreviousHourMassTotal</t>
  </si>
  <si>
    <t>2601.20FQI0247PHM.PreviousHourMassTotal</t>
  </si>
  <si>
    <t>2601.20FQI0247PHGV.PreviousHourGvTotal</t>
  </si>
  <si>
    <t>2601.20FQI0244PDM.PreviousDayMassTotal</t>
  </si>
  <si>
    <t>Agua</t>
  </si>
  <si>
    <t>Oleo</t>
  </si>
  <si>
    <t>2601.20FQI0247PDM.PreviousDayMassTotal</t>
  </si>
  <si>
    <t>Oil m³</t>
  </si>
  <si>
    <t>2601.20FQI0247PDGV.PreviousDayGvTotal</t>
  </si>
  <si>
    <t>MPFM SUBSEA 
Tot Óleo Corr (t)</t>
  </si>
  <si>
    <t>MPFM SUBSEA 
Tot Gás Corr (t)</t>
  </si>
  <si>
    <t>MPFM SUBSEA 
Tot Água Corr (t)</t>
  </si>
  <si>
    <t>REF SEPARADOR TESTE
Tot Óleo (m³)</t>
  </si>
  <si>
    <t>REF SEPARADOR TESTE
Tot Óleo CALC (t)</t>
  </si>
  <si>
    <t>REF SEPARADOR TESTE 
Tot Óleo PI (t)</t>
  </si>
  <si>
    <t>REF SEPARADOR TESTE
Tot Gás (t)</t>
  </si>
  <si>
    <t>REF SEPARADOR TESTE
Tot Água (t)</t>
  </si>
  <si>
    <t>MPFM Δ Óleo (kg)</t>
  </si>
  <si>
    <t>MPFM Δ Gás (kg)</t>
  </si>
  <si>
    <t>MPFM Δ Água (kg)</t>
  </si>
  <si>
    <t>MPFM Δ HC (kg)</t>
  </si>
  <si>
    <t>MPFM Δ Total (kg)</t>
  </si>
  <si>
    <t>OK</t>
  </si>
  <si>
    <t>MPFM Massa Óleo (kg)</t>
  </si>
  <si>
    <t>MPFM Massa Gás (kg)</t>
  </si>
  <si>
    <t>MPFM Massa Água (kg)</t>
  </si>
  <si>
    <t>MPFM Massa HC (kg)</t>
  </si>
  <si>
    <t>MPFM Massa Total (kg)</t>
  </si>
  <si>
    <t>REF Massa Óleo (kg)</t>
  </si>
  <si>
    <t>REF Massa Gás (kg)</t>
  </si>
  <si>
    <t>REF Massa Água (kg)</t>
  </si>
  <si>
    <t>REF Massa HC (kg)</t>
  </si>
  <si>
    <t>REF Massa Total (kg)</t>
  </si>
  <si>
    <t>04 – Cálculo de K-Factors, massas corrigidas e validações</t>
  </si>
  <si>
    <t>Parâmetros de aceitação (ajustáveis)</t>
  </si>
  <si>
    <t>K mínimo</t>
  </si>
  <si>
    <t>K máximo</t>
  </si>
  <si>
    <t>Limite desvio Massa HC (±)</t>
  </si>
  <si>
    <t>Limite desvio Massa Total (±)</t>
  </si>
  <si>
    <t>Massas totalizadas (24h) – Separador de Teste (Referência) vs MPFM Subsea</t>
  </si>
  <si>
    <t>Fase</t>
  </si>
  <si>
    <t>MPFM (t)</t>
  </si>
  <si>
    <t>Referência (t)</t>
  </si>
  <si>
    <t>Desvio (%)</t>
  </si>
  <si>
    <t>Óleo</t>
  </si>
  <si>
    <t>Gás</t>
  </si>
  <si>
    <t>Água</t>
  </si>
  <si>
    <t>HC (Óleo+Gás)</t>
  </si>
  <si>
    <t>Total (HC+Água)</t>
  </si>
  <si>
    <t>Condições Específicas de Operação</t>
  </si>
  <si>
    <t>Medidor calibrado operou acima da pressão do ponto de bolha?</t>
  </si>
  <si>
    <t>Razão Massa Óleo / massa de água &gt;= 25</t>
  </si>
  <si>
    <t>Cálculo dos K-Factors (razão Referência / MPFM)</t>
  </si>
  <si>
    <t>AS FOUND</t>
  </si>
  <si>
    <t>AS LEFT</t>
  </si>
  <si>
    <t>Fatores K Iniciais</t>
  </si>
  <si>
    <t>Fatores K Calculados (ref/MPFM)</t>
  </si>
  <si>
    <t>Status (range)</t>
  </si>
  <si>
    <t>K_oil</t>
  </si>
  <si>
    <t>K_gas</t>
  </si>
  <si>
    <t>K_water</t>
  </si>
  <si>
    <t>Massas corrigidas (aplicação de K) e desvios pós-correção</t>
  </si>
  <si>
    <t>MPFM bruto (t)</t>
  </si>
  <si>
    <t>K aplicado</t>
  </si>
  <si>
    <t>MPFM corrigido (t)</t>
  </si>
  <si>
    <t>Desvio pós (%)</t>
  </si>
  <si>
    <t>Critério</t>
  </si>
  <si>
    <t>HC</t>
  </si>
  <si>
    <t>Validação opcional contra o FCS320 (cole valores oficiais para conferência)</t>
  </si>
  <si>
    <t>Esperado (MPFM bruto × K) (kg)</t>
  </si>
  <si>
    <t>FCS320 (kg) – entrada</t>
  </si>
  <si>
    <t>Diferença (kg)</t>
  </si>
  <si>
    <t>06 – Monitoramento pós-aplicação de novos fatores (tendência, alarmes e evidências)</t>
  </si>
  <si>
    <t>Registre por período (ex.: diário) as massas totalizadas e o efeito dos novos K-factors. Útil para evidência pós-calibração.</t>
  </si>
  <si>
    <t>Data</t>
  </si>
  <si>
    <t>Início (dt)</t>
  </si>
  <si>
    <t>Fim (dt)</t>
  </si>
  <si>
    <t>Duração (h)</t>
  </si>
  <si>
    <t>MPFM Óleo (t)</t>
  </si>
  <si>
    <t>MPFM Gás (t)</t>
  </si>
  <si>
    <t>MPFM Água (t)</t>
  </si>
  <si>
    <t>MPFM Corr. Óleo (t)</t>
  </si>
  <si>
    <t>MPFM Corr. Gás (t)</t>
  </si>
  <si>
    <t>MPFM Corr. Água (t)</t>
  </si>
  <si>
    <t>MPFM Corr. HC (t)</t>
  </si>
  <si>
    <t>MPFM Corr. Total (t)</t>
  </si>
  <si>
    <t>REF Óleo (t)</t>
  </si>
  <si>
    <t>REF Gás (t)</t>
  </si>
  <si>
    <t>REF Água (t)</t>
  </si>
  <si>
    <t>REF HC (t)</t>
  </si>
  <si>
    <t>REF Total (t)</t>
  </si>
  <si>
    <t>Desvio HC (%)</t>
  </si>
  <si>
    <t>Desvio Total (%)</t>
  </si>
  <si>
    <t>Alarmes/ações</t>
  </si>
  <si>
    <t>07 – Registro de Alarmes / Eventos (HMI/MPM/FCS320)</t>
  </si>
  <si>
    <t>Use este log para rastreabilidade: alarmes críticos devem estar inativos no início do teste e investigados quando ocorrerem.</t>
  </si>
  <si>
    <t>Data/Hora</t>
  </si>
  <si>
    <t>TAG do Equipamento</t>
  </si>
  <si>
    <t>Código do Alarme</t>
  </si>
  <si>
    <t>Descrição do Evento</t>
  </si>
  <si>
    <t>Gravidade</t>
  </si>
  <si>
    <t>Ação Tomada / Evidência</t>
  </si>
  <si>
    <t>Low</t>
  </si>
  <si>
    <t>High</t>
  </si>
  <si>
    <t>Gamma</t>
  </si>
  <si>
    <t>dPInlet</t>
  </si>
  <si>
    <t>dPOutlet</t>
  </si>
  <si>
    <t>3D Broadband</t>
  </si>
  <si>
    <t>Software</t>
  </si>
  <si>
    <t>Communication Port</t>
  </si>
  <si>
    <t>Missing data</t>
  </si>
  <si>
    <t>dP low</t>
  </si>
  <si>
    <t>dP high</t>
  </si>
  <si>
    <t>Large transmitter deviation</t>
  </si>
  <si>
    <t>Electronics temp high</t>
  </si>
  <si>
    <t>Electronics voltage hi/lo</t>
  </si>
  <si>
    <t>Electronics current high</t>
  </si>
  <si>
    <t>Canister pressure</t>
  </si>
  <si>
    <t>Canister temperature</t>
  </si>
  <si>
    <t>Canister humidity</t>
  </si>
  <si>
    <t>Water ingress</t>
  </si>
  <si>
    <t>Shock/Vibration</t>
  </si>
  <si>
    <t>Sand detector</t>
  </si>
  <si>
    <t>05 – Balanço de massa HC (gatilho ANP), mistura com Gás Lift e checagens de envelope</t>
  </si>
  <si>
    <t>Balanço de Massa de Hidrocarbonetos – Subsea vs Topside (com desconto de Gás Lift)</t>
  </si>
  <si>
    <t>Fonte</t>
  </si>
  <si>
    <t>Massa Óleo (t)</t>
  </si>
  <si>
    <t>Massa Gás (t)</t>
  </si>
  <si>
    <t>Massa HC (t)</t>
  </si>
  <si>
    <t>Observações</t>
  </si>
  <si>
    <t>Poço/linha 1 (Subsea)</t>
  </si>
  <si>
    <t>Poço/linha 2 (Subsea)</t>
  </si>
  <si>
    <t>Poço/linha 3 (Subsea)</t>
  </si>
  <si>
    <t>Poço/linha 4 (Subsea)</t>
  </si>
  <si>
    <t>Poço/linha 5 (Subsea)</t>
  </si>
  <si>
    <t>Poço/linha 6 (Subsea)</t>
  </si>
  <si>
    <t>Poço/linha 7 (Subsea)</t>
  </si>
  <si>
    <t>Poço/linha 8 (Subsea)</t>
  </si>
  <si>
    <t>Total Subsea HC</t>
  </si>
  <si>
    <t>Topside (MPFM) e Gás Lift</t>
  </si>
  <si>
    <t>MPFM Topside – Massa Óleo (t)</t>
  </si>
  <si>
    <t>MPFM Topside – Massa Gás (t)</t>
  </si>
  <si>
    <t>Gás Lift – Massa Gás (t)</t>
  </si>
  <si>
    <t>HC Topside (t)</t>
  </si>
  <si>
    <t>HC Topside Líquido (t) = HC - Gás Lift</t>
  </si>
  <si>
    <t>Desvio (%) = (Subsea/TopsideLiq - 1)</t>
  </si>
  <si>
    <t>Status (±10%)</t>
  </si>
  <si>
    <t>Checagens de Envelope / Integridade (entradas + status)</t>
  </si>
  <si>
    <t>Item de controle</t>
  </si>
  <si>
    <t>Valor observado</t>
  </si>
  <si>
    <t>Limite</t>
  </si>
  <si>
    <t>dP Venturi (Topside)</t>
  </si>
  <si>
    <t>50 a 5000 mbar</t>
  </si>
  <si>
    <t>dP Venturi (Subsea)</t>
  </si>
  <si>
    <t>100 a 5000 mbar</t>
  </si>
  <si>
    <t>GVF (Fração de Gás)</t>
  </si>
  <si>
    <t>Máx 95% (Subsea)</t>
  </si>
  <si>
    <t>Alarmes Críticos HMI</t>
  </si>
  <si>
    <t>Devem estar inativos</t>
  </si>
  <si>
    <t>Mistura de composição (LivePVT) com Gás Lift – cálculo por conservação de moles</t>
  </si>
  <si>
    <t>Massa Gás Lift (kg/h)</t>
  </si>
  <si>
    <t>Massa Gás Produção (kg/h)</t>
  </si>
  <si>
    <t>MW Prod (kg/kmol)</t>
  </si>
  <si>
    <t>kmol/h GL</t>
  </si>
  <si>
    <t>MW GL (kg/kmol)</t>
  </si>
  <si>
    <t>kmol/h Prod</t>
  </si>
  <si>
    <t>MW (kg/kmol)</t>
  </si>
  <si>
    <t>mol% GL</t>
  </si>
  <si>
    <t>mol% Produção</t>
  </si>
  <si>
    <t>mol% Misturado</t>
  </si>
  <si>
    <t>C5+</t>
  </si>
  <si>
    <t>Total kmol/h misturado</t>
  </si>
  <si>
    <t>Cálculo de Água Condensada (Wet Gas) – opcional</t>
  </si>
  <si>
    <t>Condição</t>
  </si>
  <si>
    <t>Pressão (barg)</t>
  </si>
  <si>
    <t>Temp (°C)</t>
  </si>
  <si>
    <t>Massa Vapor (kg/h)</t>
  </si>
  <si>
    <t>Reservatório</t>
  </si>
  <si>
    <t>Medidor (Subsea/Topside)</t>
  </si>
  <si>
    <t>Água Condensada (kg/h)</t>
  </si>
  <si>
    <t>08 – Relatório (auto-preenchido) – Calibração MPFM</t>
  </si>
  <si>
    <t>Identificação</t>
  </si>
  <si>
    <t>S/N</t>
  </si>
  <si>
    <t>ID Relatório PVT</t>
  </si>
  <si>
    <t>Início totalização</t>
  </si>
  <si>
    <t>Fim totalização</t>
  </si>
  <si>
    <t>Duração efetiva (h)</t>
  </si>
  <si>
    <t>Resultados de Calibração</t>
  </si>
  <si>
    <t>Indicador</t>
  </si>
  <si>
    <t>Desvio HC pós-correção</t>
  </si>
  <si>
    <t>Desvio Total pós-correção</t>
  </si>
  <si>
    <t>Conclusão</t>
  </si>
  <si>
    <t>Resultado Geral</t>
  </si>
  <si>
    <t>Categoria</t>
  </si>
  <si>
    <t>Saude do hardware</t>
  </si>
  <si>
    <t>Sistema</t>
  </si>
  <si>
    <t>Tipo_Evento</t>
  </si>
  <si>
    <t>CategoriaEvento</t>
  </si>
  <si>
    <t>Tipo_Registro_ANP</t>
  </si>
  <si>
    <t>Tipo_Acao</t>
  </si>
  <si>
    <t>Severidade</t>
  </si>
  <si>
    <t>SimNao</t>
  </si>
  <si>
    <t>Modo Medição MPFM</t>
  </si>
  <si>
    <t>TipoReferencia</t>
  </si>
  <si>
    <t>Perda de Sinal</t>
  </si>
  <si>
    <t>Aberto</t>
  </si>
  <si>
    <t>TOPSIDE</t>
  </si>
  <si>
    <t>Detecção</t>
  </si>
  <si>
    <t>Operação</t>
  </si>
  <si>
    <t>Relatório Parcial</t>
  </si>
  <si>
    <t>Corretiva</t>
  </si>
  <si>
    <t>Baixa</t>
  </si>
  <si>
    <t>Sim</t>
  </si>
  <si>
    <t>Dual Mode</t>
  </si>
  <si>
    <t>Separador de teste</t>
  </si>
  <si>
    <t>Sem redundância</t>
  </si>
  <si>
    <t>Em investigação</t>
  </si>
  <si>
    <t>SUBSEA</t>
  </si>
  <si>
    <t>Alarme</t>
  </si>
  <si>
    <t>Medição</t>
  </si>
  <si>
    <t>Relatório Final</t>
  </si>
  <si>
    <t>Preventiva</t>
  </si>
  <si>
    <t>Média</t>
  </si>
  <si>
    <t>Não</t>
  </si>
  <si>
    <t>Multiphase</t>
  </si>
  <si>
    <t>Topside (comparação)</t>
  </si>
  <si>
    <t>Integridade do Equipamento/Sensor</t>
  </si>
  <si>
    <t>Plano de ação em execução</t>
  </si>
  <si>
    <t>SEPARADOR DE TESTE</t>
  </si>
  <si>
    <t>Verificação desempenho</t>
  </si>
  <si>
    <t>Manutenção/Metrologia</t>
  </si>
  <si>
    <t>Relatório Parcial (10 dias)</t>
  </si>
  <si>
    <t>Investigação</t>
  </si>
  <si>
    <t>Alta</t>
  </si>
  <si>
    <t>Parcial</t>
  </si>
  <si>
    <t>Wet Gas</t>
  </si>
  <si>
    <t>Subsea (referência)</t>
  </si>
  <si>
    <t>Outro</t>
  </si>
  <si>
    <t>Em contingência</t>
  </si>
  <si>
    <t>Coleta de amostra</t>
  </si>
  <si>
    <t>Fornecedor/Fabricante</t>
  </si>
  <si>
    <t>Solicitação de Prorrogação</t>
  </si>
  <si>
    <t>Teste/Validação</t>
  </si>
  <si>
    <t>Crítica</t>
  </si>
  <si>
    <t>Single</t>
  </si>
  <si>
    <t>Aguardando fabricante</t>
  </si>
  <si>
    <t>PVT</t>
  </si>
  <si>
    <t>Regulatório/ANP</t>
  </si>
  <si>
    <t>Relatório de Avaliação Desempenho (30 dias)</t>
  </si>
  <si>
    <t>Documental/Envio</t>
  </si>
  <si>
    <t>Restaurado</t>
  </si>
  <si>
    <t>Plano de Ação</t>
  </si>
  <si>
    <t>Relatório de Avaliação Desempenho (180 dias)</t>
  </si>
  <si>
    <t>Concluído</t>
  </si>
  <si>
    <t>Contingência</t>
  </si>
  <si>
    <t>Indisponibilidade</t>
  </si>
  <si>
    <t>Não aplicável</t>
  </si>
  <si>
    <t>Manutenção</t>
  </si>
  <si>
    <t>Enviado para ANP</t>
  </si>
  <si>
    <t>Envio Fabricante</t>
  </si>
  <si>
    <t>Cancelado</t>
  </si>
  <si>
    <t>Retorno</t>
  </si>
  <si>
    <t>Envio ANP</t>
  </si>
  <si>
    <t>Calibração/K</t>
  </si>
  <si>
    <t>Operadora</t>
  </si>
  <si>
    <t>Seguem os limites de desvios estabelecidos:</t>
  </si>
  <si>
    <r>
      <t>●</t>
    </r>
    <r>
      <rPr>
        <sz val="7"/>
        <color rgb="FF000000"/>
        <rFont val="Times New Roman"/>
        <family val="1"/>
      </rPr>
      <t xml:space="preserve">     </t>
    </r>
    <r>
      <rPr>
        <sz val="11"/>
        <color rgb="FF000000"/>
        <rFont val="Arial"/>
        <family val="2"/>
      </rPr>
      <t>Balanço de Hidrocarboneto (HC): limite ±10%</t>
    </r>
  </si>
  <si>
    <r>
      <t>●</t>
    </r>
    <r>
      <rPr>
        <sz val="7"/>
        <color rgb="FF000000"/>
        <rFont val="Times New Roman"/>
        <family val="1"/>
      </rPr>
      <t xml:space="preserve">     </t>
    </r>
    <r>
      <rPr>
        <sz val="11"/>
        <color rgb="FF000000"/>
        <rFont val="Arial"/>
        <family val="2"/>
      </rPr>
      <t>Balanço Total: limite ±7%</t>
    </r>
  </si>
  <si>
    <r>
      <t>●</t>
    </r>
    <r>
      <rPr>
        <sz val="7"/>
        <color rgb="FF000000"/>
        <rFont val="Times New Roman"/>
        <family val="1"/>
      </rPr>
      <t xml:space="preserve">     </t>
    </r>
    <r>
      <rPr>
        <sz val="11"/>
        <color rgb="FF000000"/>
        <rFont val="Arial"/>
        <family val="2"/>
      </rPr>
      <t>K-Factors (fator de reconciliação):</t>
    </r>
  </si>
  <si>
    <r>
      <t>○</t>
    </r>
    <r>
      <rPr>
        <sz val="7"/>
        <color rgb="FF000000"/>
        <rFont val="Times New Roman"/>
        <family val="1"/>
      </rPr>
      <t xml:space="preserve">     </t>
    </r>
    <r>
      <rPr>
        <sz val="11"/>
        <color rgb="FF000000"/>
        <rFont val="Arial"/>
        <family val="2"/>
      </rPr>
      <t>kₒ – óleo (0,80–1,20 normal / 0,60–1,40 alerta)</t>
    </r>
  </si>
  <si>
    <r>
      <t>○</t>
    </r>
    <r>
      <rPr>
        <sz val="7"/>
        <color rgb="FF000000"/>
        <rFont val="Times New Roman"/>
        <family val="1"/>
      </rPr>
      <t xml:space="preserve">     </t>
    </r>
    <r>
      <rPr>
        <sz val="11"/>
        <color rgb="FF000000"/>
        <rFont val="Arial"/>
        <family val="2"/>
      </rPr>
      <t>k</t>
    </r>
    <r>
      <rPr>
        <sz val="11"/>
        <color rgb="FF000000"/>
        <rFont val="Cambria Math"/>
        <family val="1"/>
      </rPr>
      <t>𝓰</t>
    </r>
    <r>
      <rPr>
        <sz val="11"/>
        <color rgb="FF000000"/>
        <rFont val="Arial"/>
        <family val="2"/>
      </rPr>
      <t xml:space="preserve"> – gás (0,80–1,20 normal / 0,60–1,40 alerta)</t>
    </r>
  </si>
  <si>
    <r>
      <t>○</t>
    </r>
    <r>
      <rPr>
        <sz val="7"/>
        <color rgb="FF000000"/>
        <rFont val="Times New Roman"/>
        <family val="1"/>
      </rPr>
      <t xml:space="preserve">     </t>
    </r>
    <r>
      <rPr>
        <sz val="11"/>
        <color rgb="FF000000"/>
        <rFont val="Arial"/>
        <family val="2"/>
      </rPr>
      <t>k</t>
    </r>
    <r>
      <rPr>
        <sz val="11"/>
        <color rgb="FF000000"/>
        <rFont val="Cambria Math"/>
        <family val="1"/>
      </rPr>
      <t>𝚠</t>
    </r>
    <r>
      <rPr>
        <sz val="11"/>
        <color rgb="FF000000"/>
        <rFont val="Arial"/>
        <family val="2"/>
      </rPr>
      <t xml:space="preserve"> – água (0,80–1,20 normal / 0,60–1,40 alerta)</t>
    </r>
  </si>
  <si>
    <r>
      <t>○</t>
    </r>
    <r>
      <rPr>
        <sz val="7"/>
        <color rgb="FF000000"/>
        <rFont val="Times New Roman"/>
        <family val="1"/>
      </rPr>
      <t xml:space="preserve">     </t>
    </r>
    <r>
      <rPr>
        <sz val="11"/>
        <color rgb="FF000000"/>
        <rFont val="Arial"/>
        <family val="2"/>
      </rPr>
      <t>k</t>
    </r>
    <r>
      <rPr>
        <sz val="11"/>
        <color rgb="FF000000"/>
        <rFont val="Cambria Math"/>
        <family val="1"/>
      </rPr>
      <t>ₜ</t>
    </r>
    <r>
      <rPr>
        <sz val="11"/>
        <color rgb="FF000000"/>
        <rFont val="Arial"/>
        <family val="2"/>
      </rPr>
      <t xml:space="preserve"> – total (0,80–1,20 normal / 0,60–1,40 alerta)</t>
    </r>
  </si>
  <si>
    <t>Diferencial de Pressão (dP)</t>
  </si>
  <si>
    <t>WLR (mín–máx)</t>
  </si>
  <si>
    <t>Viscosidade</t>
  </si>
  <si>
    <t>Data Fim</t>
  </si>
  <si>
    <t>Ocorreu algum evento neste dia?</t>
  </si>
  <si>
    <t>Tipo Evento</t>
  </si>
  <si>
    <t>Status do Evento</t>
  </si>
  <si>
    <t>Tipo de Registro ANP</t>
  </si>
  <si>
    <t>Tipo de Ação</t>
  </si>
  <si>
    <t>Redundância dos sensores P, T e ΔP?</t>
  </si>
  <si>
    <t xml:space="preserve">Integridade e Comunicação </t>
  </si>
  <si>
    <t>Novo Resultado PVT?</t>
  </si>
  <si>
    <t>PVT foi Atualizada?</t>
  </si>
  <si>
    <t>Nova Calbração?</t>
  </si>
  <si>
    <t>Novo K-Factor?</t>
  </si>
  <si>
    <t>K-factor foi Implementado?</t>
  </si>
  <si>
    <t>Resultado Final do Evento</t>
  </si>
  <si>
    <t>Responsável</t>
  </si>
  <si>
    <t>Próxima Ação</t>
  </si>
  <si>
    <t>K-factor óleo</t>
  </si>
  <si>
    <t>K-factor gás</t>
  </si>
  <si>
    <t>K-factor Hidrocarboneto</t>
  </si>
  <si>
    <t>K-factor água</t>
  </si>
  <si>
    <t>REGISTRO DE AVALIAÇÃO DE DESEMPENHO - MPFM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</si>
</sst>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33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000000"/>
      <name val="Calibri"/>
      <family val="2"/>
    </font>
    <font>
      <i/>
      <sz val="11"/>
      <color rgb="FF404040"/>
      <name val="Calibri"/>
      <family val="2"/>
    </font>
    <font>
      <sz val="11"/>
      <color rgb="FF008000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b/>
      <sz val="20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0"/>
      <name val="Calibri"/>
      <family val="2"/>
    </font>
    <font>
      <sz val="1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9"/>
      <name val="Calibri"/>
      <family val="2"/>
      <scheme val="minor"/>
    </font>
    <font>
      <b/>
      <sz val="11"/>
      <color rgb="FF263238"/>
      <name val="Calibri"/>
      <family val="2"/>
    </font>
    <font>
      <sz val="11"/>
      <color rgb="FF000000"/>
      <name val="Arial"/>
      <family val="2"/>
    </font>
    <font>
      <sz val="7"/>
      <color rgb="FF000000"/>
      <name val="Times New Roman"/>
      <family val="1"/>
    </font>
    <font>
      <sz val="11"/>
      <color rgb="FF000000"/>
      <name val="Cambria Math"/>
      <family val="1"/>
    </font>
    <font>
      <b/>
      <sz val="12"/>
      <name val="Calibri"/>
      <family val="2"/>
    </font>
    <font>
      <b/>
      <sz val="10"/>
      <color rgb="FF000000"/>
      <name val="Calibri"/>
      <family val="2"/>
    </font>
    <font>
      <b/>
      <sz val="10"/>
      <color rgb="FFFFFFFF"/>
      <name val="Calibri"/>
      <family val="2"/>
    </font>
    <font>
      <b/>
      <sz val="9"/>
      <color rgb="FFFFFFFF"/>
      <name val="Calibri"/>
      <family val="2"/>
    </font>
    <font>
      <sz val="11"/>
      <color theme="1"/>
      <name val="Calibri"/>
      <family val="2"/>
      <charset val="1"/>
    </font>
  </fonts>
  <fills count="26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DE7"/>
      </patternFill>
    </fill>
    <fill>
      <patternFill patternType="solid">
        <fgColor theme="0" tint="-4.9989318521683403E-2"/>
        <bgColor rgb="FFFF9900"/>
      </patternFill>
    </fill>
    <fill>
      <patternFill patternType="solid">
        <fgColor theme="4"/>
        <bgColor rgb="FFFF9900"/>
      </patternFill>
    </fill>
    <fill>
      <patternFill patternType="solid">
        <fgColor theme="4" tint="0.39997558519241921"/>
        <bgColor rgb="FFFF9900"/>
      </patternFill>
    </fill>
    <fill>
      <patternFill patternType="solid">
        <fgColor rgb="FF7030A0"/>
        <bgColor rgb="FF0066CC"/>
      </patternFill>
    </fill>
    <fill>
      <patternFill patternType="solid">
        <fgColor rgb="FF7030A0"/>
        <bgColor rgb="FF800000"/>
      </patternFill>
    </fill>
    <fill>
      <patternFill patternType="solid">
        <fgColor rgb="FFDDEBF7"/>
        <bgColor rgb="FFE6E6FA"/>
      </patternFill>
    </fill>
    <fill>
      <patternFill patternType="solid">
        <fgColor theme="7" tint="0.79998168889431442"/>
        <bgColor rgb="FFFCE4D6"/>
      </patternFill>
    </fill>
    <fill>
      <patternFill patternType="solid">
        <fgColor theme="7" tint="0.79998168889431442"/>
        <bgColor rgb="FFDDEBF7"/>
      </patternFill>
    </fill>
    <fill>
      <patternFill patternType="solid">
        <fgColor rgb="FFE6E6FA"/>
        <bgColor rgb="FFDDEBF7"/>
      </patternFill>
    </fill>
  </fills>
  <borders count="24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 style="thin">
        <color rgb="FFB0BEC5"/>
      </left>
      <right style="thin">
        <color rgb="FFB0BEC5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</borders>
  <cellStyleXfs count="7">
    <xf numFmtId="0" fontId="0" fillId="0" borderId="0"/>
    <xf numFmtId="0" fontId="7" fillId="0" borderId="3"/>
    <xf numFmtId="0" fontId="7" fillId="0" borderId="3"/>
    <xf numFmtId="0" fontId="7" fillId="0" borderId="3"/>
    <xf numFmtId="0" fontId="7" fillId="0" borderId="3"/>
    <xf numFmtId="9" fontId="7" fillId="0" borderId="0" applyFont="0" applyFill="0" applyBorder="0" applyAlignment="0" applyProtection="0"/>
    <xf numFmtId="0" fontId="32" fillId="0" borderId="3"/>
  </cellStyleXfs>
  <cellXfs count="180">
    <xf numFmtId="0" fontId="0" fillId="0" borderId="0" xfId="0"/>
    <xf numFmtId="0" fontId="0" fillId="0" borderId="0" xfId="0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14" fontId="3" fillId="0" borderId="1" xfId="0" applyNumberFormat="1" applyFont="1" applyBorder="1" applyAlignment="1">
      <alignment horizontal="left" vertical="center" wrapText="1"/>
    </xf>
    <xf numFmtId="22" fontId="3" fillId="0" borderId="1" xfId="0" applyNumberFormat="1" applyFont="1" applyBorder="1" applyAlignment="1">
      <alignment horizontal="left" vertical="center" wrapText="1"/>
    </xf>
    <xf numFmtId="164" fontId="4" fillId="0" borderId="1" xfId="0" applyNumberFormat="1" applyFont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left" vertical="center" wrapText="1"/>
    </xf>
    <xf numFmtId="165" fontId="4" fillId="0" borderId="1" xfId="0" applyNumberFormat="1" applyFont="1" applyBorder="1" applyAlignment="1">
      <alignment horizontal="left" vertical="center" wrapText="1"/>
    </xf>
    <xf numFmtId="165" fontId="3" fillId="0" borderId="1" xfId="0" applyNumberFormat="1" applyFont="1" applyBorder="1" applyAlignment="1">
      <alignment horizontal="left" vertical="center" wrapText="1"/>
    </xf>
    <xf numFmtId="0" fontId="0" fillId="0" borderId="1" xfId="0" applyBorder="1"/>
    <xf numFmtId="164" fontId="3" fillId="0" borderId="1" xfId="0" applyNumberFormat="1" applyFont="1" applyBorder="1" applyAlignment="1">
      <alignment horizontal="left" vertical="center" wrapText="1"/>
    </xf>
    <xf numFmtId="1" fontId="3" fillId="0" borderId="1" xfId="0" applyNumberFormat="1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left" vertical="center" wrapText="1"/>
    </xf>
    <xf numFmtId="0" fontId="0" fillId="0" borderId="3" xfId="0" applyBorder="1"/>
    <xf numFmtId="1" fontId="6" fillId="0" borderId="1" xfId="0" applyNumberFormat="1" applyFont="1" applyBorder="1"/>
    <xf numFmtId="10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166" fontId="6" fillId="0" borderId="1" xfId="0" applyNumberFormat="1" applyFont="1" applyBorder="1"/>
    <xf numFmtId="10" fontId="6" fillId="0" borderId="1" xfId="0" applyNumberFormat="1" applyFont="1" applyBorder="1"/>
    <xf numFmtId="0" fontId="5" fillId="0" borderId="1" xfId="0" applyFont="1" applyBorder="1" applyAlignment="1">
      <alignment horizontal="center" vertical="center" wrapText="1"/>
    </xf>
    <xf numFmtId="0" fontId="2" fillId="0" borderId="0" xfId="0" applyFont="1"/>
    <xf numFmtId="165" fontId="6" fillId="0" borderId="0" xfId="0" applyNumberFormat="1" applyFont="1"/>
    <xf numFmtId="0" fontId="6" fillId="0" borderId="1" xfId="0" applyFont="1" applyBorder="1"/>
    <xf numFmtId="22" fontId="6" fillId="0" borderId="1" xfId="0" applyNumberFormat="1" applyFont="1" applyBorder="1"/>
    <xf numFmtId="2" fontId="6" fillId="0" borderId="1" xfId="0" applyNumberFormat="1" applyFont="1" applyBorder="1"/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8" fillId="7" borderId="0" xfId="0" applyFont="1" applyFill="1" applyAlignment="1">
      <alignment horizontal="center"/>
    </xf>
    <xf numFmtId="11" fontId="0" fillId="0" borderId="0" xfId="0" applyNumberFormat="1" applyAlignment="1">
      <alignment horizontal="center" vertical="center"/>
    </xf>
    <xf numFmtId="0" fontId="0" fillId="8" borderId="0" xfId="0" applyFill="1"/>
    <xf numFmtId="0" fontId="2" fillId="7" borderId="1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/>
    <xf numFmtId="0" fontId="3" fillId="0" borderId="1" xfId="0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center"/>
    </xf>
    <xf numFmtId="0" fontId="15" fillId="0" borderId="4" xfId="0" applyFont="1" applyBorder="1" applyAlignment="1">
      <alignment horizontal="left" vertical="center" wrapText="1"/>
    </xf>
    <xf numFmtId="0" fontId="16" fillId="11" borderId="4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left" vertical="center" wrapText="1"/>
    </xf>
    <xf numFmtId="165" fontId="4" fillId="0" borderId="1" xfId="0" applyNumberFormat="1" applyFont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 wrapText="1"/>
    </xf>
    <xf numFmtId="2" fontId="3" fillId="0" borderId="5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14" fontId="9" fillId="0" borderId="0" xfId="0" applyNumberFormat="1" applyFont="1" applyAlignment="1">
      <alignment horizontal="center"/>
    </xf>
    <xf numFmtId="0" fontId="2" fillId="7" borderId="5" xfId="0" applyFont="1" applyFill="1" applyBorder="1" applyAlignment="1">
      <alignment horizontal="left" vertical="center" wrapText="1"/>
    </xf>
    <xf numFmtId="14" fontId="3" fillId="0" borderId="5" xfId="0" applyNumberFormat="1" applyFont="1" applyBorder="1" applyAlignment="1">
      <alignment horizontal="left" vertical="center" wrapText="1"/>
    </xf>
    <xf numFmtId="2" fontId="4" fillId="0" borderId="1" xfId="0" applyNumberFormat="1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1" fontId="4" fillId="0" borderId="1" xfId="0" applyNumberFormat="1" applyFont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2" fontId="21" fillId="0" borderId="1" xfId="0" applyNumberFormat="1" applyFont="1" applyBorder="1" applyAlignment="1">
      <alignment horizontal="center" vertical="center" wrapText="1"/>
    </xf>
    <xf numFmtId="0" fontId="18" fillId="0" borderId="3" xfId="0" applyFont="1" applyBorder="1"/>
    <xf numFmtId="0" fontId="18" fillId="13" borderId="0" xfId="0" applyFont="1" applyFill="1"/>
    <xf numFmtId="0" fontId="18" fillId="13" borderId="0" xfId="0" applyFont="1" applyFill="1" applyAlignment="1">
      <alignment horizontal="center"/>
    </xf>
    <xf numFmtId="0" fontId="20" fillId="13" borderId="0" xfId="0" applyFont="1" applyFill="1" applyAlignment="1">
      <alignment horizontal="center"/>
    </xf>
    <xf numFmtId="0" fontId="20" fillId="13" borderId="0" xfId="0" applyFont="1" applyFill="1" applyAlignment="1">
      <alignment horizontal="left"/>
    </xf>
    <xf numFmtId="0" fontId="20" fillId="0" borderId="0" xfId="0" applyFont="1"/>
    <xf numFmtId="0" fontId="0" fillId="0" borderId="1" xfId="0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0" fontId="4" fillId="0" borderId="1" xfId="0" applyNumberFormat="1" applyFont="1" applyBorder="1" applyAlignment="1">
      <alignment horizontal="center" vertical="center" wrapText="1"/>
    </xf>
    <xf numFmtId="10" fontId="3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6" fontId="6" fillId="0" borderId="1" xfId="0" applyNumberFormat="1" applyFont="1" applyBorder="1" applyAlignment="1">
      <alignment horizontal="center"/>
    </xf>
    <xf numFmtId="10" fontId="6" fillId="0" borderId="1" xfId="0" applyNumberFormat="1" applyFont="1" applyBorder="1" applyAlignment="1">
      <alignment horizontal="center"/>
    </xf>
    <xf numFmtId="0" fontId="19" fillId="13" borderId="0" xfId="0" applyFon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3" fillId="0" borderId="6" xfId="0" applyNumberFormat="1" applyFont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2" fontId="3" fillId="14" borderId="1" xfId="0" applyNumberFormat="1" applyFont="1" applyFill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 vertical="center" wrapText="1"/>
    </xf>
    <xf numFmtId="2" fontId="3" fillId="7" borderId="1" xfId="0" applyNumberFormat="1" applyFont="1" applyFill="1" applyBorder="1" applyAlignment="1">
      <alignment horizontal="center" vertical="center" wrapText="1"/>
    </xf>
    <xf numFmtId="164" fontId="3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justify" vertical="center" wrapText="1"/>
    </xf>
    <xf numFmtId="1" fontId="21" fillId="0" borderId="1" xfId="0" applyNumberFormat="1" applyFont="1" applyBorder="1" applyAlignment="1">
      <alignment horizontal="center" vertical="center" wrapText="1"/>
    </xf>
    <xf numFmtId="2" fontId="22" fillId="0" borderId="1" xfId="0" applyNumberFormat="1" applyFont="1" applyBorder="1" applyAlignment="1">
      <alignment horizontal="center" vertical="center" wrapText="1"/>
    </xf>
    <xf numFmtId="0" fontId="2" fillId="7" borderId="11" xfId="0" applyFont="1" applyFill="1" applyBorder="1"/>
    <xf numFmtId="0" fontId="2" fillId="7" borderId="2" xfId="0" applyFont="1" applyFill="1" applyBorder="1"/>
    <xf numFmtId="0" fontId="2" fillId="7" borderId="5" xfId="0" applyFont="1" applyFill="1" applyBorder="1"/>
    <xf numFmtId="0" fontId="2" fillId="7" borderId="12" xfId="0" applyFont="1" applyFill="1" applyBorder="1"/>
    <xf numFmtId="0" fontId="23" fillId="0" borderId="0" xfId="0" applyFont="1" applyAlignment="1">
      <alignment horizontal="left"/>
    </xf>
    <xf numFmtId="2" fontId="6" fillId="0" borderId="1" xfId="0" applyNumberFormat="1" applyFont="1" applyBorder="1" applyAlignment="1">
      <alignment horizontal="center"/>
    </xf>
    <xf numFmtId="2" fontId="0" fillId="0" borderId="3" xfId="0" applyNumberFormat="1" applyBorder="1"/>
    <xf numFmtId="0" fontId="0" fillId="0" borderId="3" xfId="0" applyBorder="1" applyAlignment="1">
      <alignment horizontal="center" vertical="center" wrapText="1"/>
    </xf>
    <xf numFmtId="1" fontId="22" fillId="0" borderId="1" xfId="0" applyNumberFormat="1" applyFont="1" applyBorder="1" applyAlignment="1">
      <alignment horizontal="center" vertical="center" wrapText="1"/>
    </xf>
    <xf numFmtId="14" fontId="21" fillId="0" borderId="1" xfId="0" applyNumberFormat="1" applyFont="1" applyBorder="1" applyAlignment="1">
      <alignment horizontal="left" vertical="center" wrapText="1"/>
    </xf>
    <xf numFmtId="20" fontId="21" fillId="0" borderId="1" xfId="0" applyNumberFormat="1" applyFont="1" applyBorder="1" applyAlignment="1">
      <alignment horizontal="left" vertical="center" wrapText="1"/>
    </xf>
    <xf numFmtId="46" fontId="21" fillId="0" borderId="1" xfId="0" applyNumberFormat="1" applyFont="1" applyBorder="1" applyAlignment="1">
      <alignment horizontal="left" vertical="center" wrapText="1"/>
    </xf>
    <xf numFmtId="2" fontId="21" fillId="0" borderId="1" xfId="0" applyNumberFormat="1" applyFont="1" applyBorder="1" applyAlignment="1">
      <alignment horizontal="left" vertical="center" wrapText="1"/>
    </xf>
    <xf numFmtId="0" fontId="21" fillId="0" borderId="1" xfId="0" applyFont="1" applyBorder="1" applyAlignment="1">
      <alignment horizontal="left" vertical="center" wrapText="1"/>
    </xf>
    <xf numFmtId="22" fontId="21" fillId="0" borderId="1" xfId="0" applyNumberFormat="1" applyFont="1" applyBorder="1" applyAlignment="1">
      <alignment horizontal="left" vertical="center" wrapText="1"/>
    </xf>
    <xf numFmtId="9" fontId="4" fillId="0" borderId="1" xfId="5" applyFont="1" applyFill="1" applyBorder="1" applyAlignment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14" fontId="21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7" borderId="1" xfId="0" applyFill="1" applyBorder="1" applyAlignment="1">
      <alignment horizontal="center"/>
    </xf>
    <xf numFmtId="165" fontId="4" fillId="7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/>
    </xf>
    <xf numFmtId="0" fontId="0" fillId="9" borderId="0" xfId="0" applyFill="1"/>
    <xf numFmtId="0" fontId="24" fillId="16" borderId="13" xfId="0" applyFont="1" applyFill="1" applyBorder="1"/>
    <xf numFmtId="0" fontId="0" fillId="0" borderId="13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2" fillId="14" borderId="1" xfId="0" applyFont="1" applyFill="1" applyBorder="1" applyAlignment="1">
      <alignment horizontal="left" vertical="center" wrapText="1"/>
    </xf>
    <xf numFmtId="0" fontId="3" fillId="0" borderId="3" xfId="0" applyFont="1" applyBorder="1" applyAlignment="1">
      <alignment horizontal="left" vertical="top" wrapText="1"/>
    </xf>
    <xf numFmtId="0" fontId="25" fillId="0" borderId="3" xfId="0" applyFont="1" applyBorder="1" applyAlignment="1">
      <alignment horizontal="left" vertical="center" indent="2"/>
    </xf>
    <xf numFmtId="0" fontId="25" fillId="0" borderId="3" xfId="0" applyFont="1" applyBorder="1" applyAlignment="1">
      <alignment horizontal="left" vertical="center" indent="5"/>
    </xf>
    <xf numFmtId="0" fontId="25" fillId="0" borderId="3" xfId="0" applyFont="1" applyBorder="1" applyAlignment="1">
      <alignment horizontal="left" vertical="center" indent="10"/>
    </xf>
    <xf numFmtId="0" fontId="13" fillId="7" borderId="20" xfId="1" applyFont="1" applyFill="1" applyBorder="1" applyAlignment="1">
      <alignment horizontal="center" vertical="center" wrapText="1"/>
    </xf>
    <xf numFmtId="0" fontId="22" fillId="8" borderId="17" xfId="6" applyFont="1" applyFill="1" applyBorder="1"/>
    <xf numFmtId="0" fontId="22" fillId="8" borderId="18" xfId="6" applyFont="1" applyFill="1" applyBorder="1"/>
    <xf numFmtId="0" fontId="22" fillId="0" borderId="3" xfId="6" applyFont="1"/>
    <xf numFmtId="0" fontId="28" fillId="17" borderId="20" xfId="6" applyFont="1" applyFill="1" applyBorder="1" applyAlignment="1">
      <alignment horizontal="center" vertical="center" wrapText="1"/>
    </xf>
    <xf numFmtId="0" fontId="22" fillId="13" borderId="3" xfId="6" applyFont="1" applyFill="1"/>
    <xf numFmtId="0" fontId="17" fillId="18" borderId="21" xfId="6" applyFont="1" applyFill="1" applyBorder="1" applyAlignment="1">
      <alignment horizontal="center" vertical="center" wrapText="1"/>
    </xf>
    <xf numFmtId="0" fontId="29" fillId="19" borderId="4" xfId="6" applyFont="1" applyFill="1" applyBorder="1" applyAlignment="1">
      <alignment horizontal="center" vertical="center" wrapText="1"/>
    </xf>
    <xf numFmtId="0" fontId="30" fillId="20" borderId="4" xfId="6" applyFont="1" applyFill="1" applyBorder="1" applyAlignment="1">
      <alignment horizontal="center" vertical="center" wrapText="1"/>
    </xf>
    <xf numFmtId="0" fontId="31" fillId="21" borderId="4" xfId="6" applyFont="1" applyFill="1" applyBorder="1" applyAlignment="1">
      <alignment horizontal="center" vertical="center" wrapText="1"/>
    </xf>
    <xf numFmtId="14" fontId="22" fillId="22" borderId="21" xfId="6" applyNumberFormat="1" applyFont="1" applyFill="1" applyBorder="1" applyAlignment="1">
      <alignment horizontal="center" vertical="center" wrapText="1"/>
    </xf>
    <xf numFmtId="14" fontId="22" fillId="22" borderId="4" xfId="6" applyNumberFormat="1" applyFont="1" applyFill="1" applyBorder="1" applyAlignment="1">
      <alignment horizontal="center" vertical="center" wrapText="1"/>
    </xf>
    <xf numFmtId="0" fontId="22" fillId="23" borderId="4" xfId="6" applyFont="1" applyFill="1" applyBorder="1" applyAlignment="1">
      <alignment horizontal="center" vertical="center" wrapText="1"/>
    </xf>
    <xf numFmtId="0" fontId="22" fillId="24" borderId="4" xfId="6" applyFont="1" applyFill="1" applyBorder="1" applyAlignment="1">
      <alignment horizontal="center" vertical="center" wrapText="1"/>
    </xf>
    <xf numFmtId="0" fontId="22" fillId="25" borderId="4" xfId="6" applyFont="1" applyFill="1" applyBorder="1" applyAlignment="1">
      <alignment horizontal="center" vertical="center" wrapText="1"/>
    </xf>
    <xf numFmtId="14" fontId="22" fillId="22" borderId="22" xfId="6" applyNumberFormat="1" applyFont="1" applyFill="1" applyBorder="1" applyAlignment="1">
      <alignment horizontal="center" vertical="center" wrapText="1"/>
    </xf>
    <xf numFmtId="14" fontId="22" fillId="22" borderId="23" xfId="6" applyNumberFormat="1" applyFont="1" applyFill="1" applyBorder="1" applyAlignment="1">
      <alignment horizontal="center" vertical="center" wrapText="1"/>
    </xf>
    <xf numFmtId="0" fontId="2" fillId="9" borderId="0" xfId="0" applyFont="1" applyFill="1" applyAlignment="1">
      <alignment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13" fillId="9" borderId="0" xfId="0" applyFont="1" applyFill="1" applyAlignment="1">
      <alignment horizontal="left" vertical="center" wrapText="1"/>
    </xf>
    <xf numFmtId="0" fontId="14" fillId="9" borderId="0" xfId="0" applyFont="1" applyFill="1"/>
    <xf numFmtId="0" fontId="12" fillId="9" borderId="7" xfId="0" applyFont="1" applyFill="1" applyBorder="1" applyAlignment="1">
      <alignment horizontal="left" vertical="center" wrapText="1"/>
    </xf>
    <xf numFmtId="0" fontId="12" fillId="9" borderId="0" xfId="0" applyFont="1" applyFill="1" applyAlignment="1">
      <alignment horizontal="left" vertical="center" wrapText="1"/>
    </xf>
    <xf numFmtId="0" fontId="0" fillId="9" borderId="0" xfId="0" applyFill="1"/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11" fillId="8" borderId="0" xfId="0" applyFont="1" applyFill="1" applyAlignment="1">
      <alignment horizontal="center" vertical="center"/>
    </xf>
    <xf numFmtId="0" fontId="12" fillId="9" borderId="9" xfId="0" applyFont="1" applyFill="1" applyBorder="1" applyAlignment="1">
      <alignment horizontal="left" vertical="center" wrapText="1"/>
    </xf>
    <xf numFmtId="0" fontId="2" fillId="9" borderId="0" xfId="0" applyFont="1" applyFill="1" applyAlignment="1">
      <alignment horizontal="left" vertical="center" wrapText="1"/>
    </xf>
    <xf numFmtId="0" fontId="18" fillId="9" borderId="0" xfId="0" applyFont="1" applyFill="1"/>
    <xf numFmtId="14" fontId="3" fillId="0" borderId="15" xfId="0" applyNumberFormat="1" applyFont="1" applyBorder="1" applyAlignment="1">
      <alignment horizontal="center" vertical="center" wrapText="1"/>
    </xf>
    <xf numFmtId="14" fontId="3" fillId="0" borderId="2" xfId="0" applyNumberFormat="1" applyFont="1" applyBorder="1" applyAlignment="1">
      <alignment horizontal="center" vertical="center" wrapText="1"/>
    </xf>
    <xf numFmtId="0" fontId="19" fillId="13" borderId="0" xfId="0" applyFont="1" applyFill="1" applyAlignment="1">
      <alignment horizontal="center"/>
    </xf>
    <xf numFmtId="0" fontId="11" fillId="8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0" fillId="0" borderId="0" xfId="0"/>
    <xf numFmtId="1" fontId="4" fillId="0" borderId="1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1" fillId="10" borderId="0" xfId="0" applyFont="1" applyFill="1" applyAlignment="1">
      <alignment horizontal="left" vertical="center" wrapText="1"/>
    </xf>
    <xf numFmtId="0" fontId="0" fillId="10" borderId="0" xfId="0" applyFill="1"/>
    <xf numFmtId="1" fontId="0" fillId="0" borderId="2" xfId="0" applyNumberFormat="1" applyBorder="1" applyAlignment="1">
      <alignment horizontal="center"/>
    </xf>
    <xf numFmtId="1" fontId="21" fillId="0" borderId="1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/>
    </xf>
    <xf numFmtId="0" fontId="0" fillId="0" borderId="14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2" fillId="9" borderId="9" xfId="0" applyFont="1" applyFill="1" applyBorder="1" applyAlignment="1">
      <alignment horizontal="left" vertical="center" wrapText="1"/>
    </xf>
    <xf numFmtId="0" fontId="5" fillId="0" borderId="0" xfId="0" applyFont="1"/>
    <xf numFmtId="0" fontId="13" fillId="7" borderId="19" xfId="1" applyFont="1" applyFill="1" applyBorder="1" applyAlignment="1">
      <alignment horizontal="center" vertical="center" wrapText="1"/>
    </xf>
    <xf numFmtId="0" fontId="13" fillId="7" borderId="20" xfId="1" applyFont="1" applyFill="1" applyBorder="1" applyAlignment="1">
      <alignment horizontal="center" vertical="center" wrapText="1"/>
    </xf>
    <xf numFmtId="0" fontId="28" fillId="17" borderId="20" xfId="6" applyFont="1" applyFill="1" applyBorder="1" applyAlignment="1">
      <alignment horizontal="center" vertical="center" wrapText="1"/>
    </xf>
    <xf numFmtId="0" fontId="11" fillId="8" borderId="18" xfId="0" applyFont="1" applyFill="1" applyBorder="1" applyAlignment="1">
      <alignment horizontal="center" vertical="center"/>
    </xf>
    <xf numFmtId="0" fontId="11" fillId="8" borderId="18" xfId="0" applyFont="1" applyFill="1" applyBorder="1" applyAlignment="1">
      <alignment horizontal="left" vertical="center"/>
    </xf>
    <xf numFmtId="0" fontId="11" fillId="8" borderId="18" xfId="0" applyFont="1" applyFill="1" applyBorder="1" applyAlignment="1">
      <alignment horizontal="center" vertical="center"/>
    </xf>
  </cellXfs>
  <cellStyles count="7">
    <cellStyle name="Normal" xfId="0" builtinId="0"/>
    <cellStyle name="Normal 2" xfId="1" xr:uid="{4BB5F4CF-11ED-46C1-AEAE-3B906EB96F80}"/>
    <cellStyle name="Normal 3" xfId="2" xr:uid="{2DE8AF42-D282-476B-9351-F172417081AB}"/>
    <cellStyle name="Normal 4" xfId="3" xr:uid="{97C8EC31-E20F-4841-8F4C-E5FC13B136E3}"/>
    <cellStyle name="Normal 5" xfId="4" xr:uid="{8B359C99-4159-4509-92E9-17D156EFA814}"/>
    <cellStyle name="Normal 6" xfId="6" xr:uid="{1CBEFC61-EBE1-4EC1-AA73-A3DA98D6AECB}"/>
    <cellStyle name="Percent" xfId="5" builtinId="5"/>
  </cellStyles>
  <dxfs count="13">
    <dxf>
      <fill>
        <patternFill patternType="solid">
          <fgColor rgb="FFF8CBAD"/>
        </patternFill>
      </fill>
    </dxf>
    <dxf>
      <fill>
        <patternFill patternType="solid">
          <fgColor rgb="FFC6EFCE"/>
        </patternFill>
      </fill>
    </dxf>
    <dxf>
      <fill>
        <patternFill patternType="solid">
          <fgColor rgb="FFF8CBAD"/>
        </patternFill>
      </fill>
    </dxf>
    <dxf>
      <fill>
        <patternFill patternType="solid">
          <fgColor rgb="FFF8CBAD"/>
        </patternFill>
      </fill>
    </dxf>
    <dxf>
      <fill>
        <patternFill patternType="solid">
          <fgColor rgb="FFF8CBAD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8CBAD"/>
        </patternFill>
      </fill>
    </dxf>
    <dxf>
      <fill>
        <patternFill patternType="solid">
          <fgColor rgb="FFF8CBAD"/>
        </patternFill>
      </fill>
    </dxf>
    <dxf>
      <fill>
        <patternFill patternType="solid">
          <fgColor rgb="FFFFC000"/>
        </patternFill>
      </fill>
    </dxf>
    <dxf>
      <fill>
        <patternFill patternType="solid">
          <fgColor rgb="FFFFC000"/>
        </patternFill>
      </fill>
    </dxf>
    <dxf>
      <fill>
        <patternFill patternType="solid">
          <fgColor rgb="FFFFC000"/>
        </patternFill>
      </fill>
    </dxf>
    <dxf>
      <fill>
        <patternFill patternType="solid">
          <fgColor rgb="FFFFC000"/>
        </patternFill>
      </fill>
    </dxf>
    <dxf>
      <fill>
        <patternFill patternType="solid">
          <f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openxmlformats.org/officeDocument/2006/relationships/customXml" Target="../customXml/item2.xml"/></Relationships>
</file>

<file path=xl/documenttasks/documenttask1.xml><?xml version="1.0" encoding="utf-8"?>
<Tasks xmlns="http://schemas.microsoft.com/office/tasks/2019/documenttasks">
  <Task id="{7E4A7ADC-0AF9-4682-B49A-7294C71594AD}">
    <Anchor>
      <Comment id="{BDA69F98-F9DD-4AE8-B292-B46BAF881BE4}"/>
    </Anchor>
    <History>
      <Event time="2026-01-26T22:25:14.0" id="{B510E145-2C3C-4C40-B2A3-A0001AD21630}">
        <Attribution userId="S::TROME@equinor.com::007a071c-177e-44fc-80d1-d9ea7e99ac9a" userName="Thiago Romeiro" userProvider="AD"/>
        <Anchor>
          <Comment id="{BDA69F98-F9DD-4AE8-B292-B46BAF881BE4}"/>
        </Anchor>
        <Create/>
      </Event>
      <Event time="2026-01-26T22:25:14.0" id="{C8963555-78EE-44DA-A5A8-AB5A6BFDED91}">
        <Attribution userId="S::TROME@equinor.com::007a071c-177e-44fc-80d1-d9ea7e99ac9a" userName="Thiago Romeiro" userProvider="AD"/>
        <Anchor>
          <Comment id="{BDA69F98-F9DD-4AE8-B292-B46BAF881BE4}"/>
        </Anchor>
        <Assign userId="S::EDBO@equinor.com::98e65f81-fcde-4a2b-a807-b1a96767bb8f" userName="Edmar Boechat" userProvider="AD"/>
      </Event>
      <Event time="2026-01-26T22:25:14.0" id="{28328338-7FCB-48B8-B07D-4476E00A6937}">
        <Attribution userId="S::TROME@equinor.com::007a071c-177e-44fc-80d1-d9ea7e99ac9a" userName="Thiago Romeiro" userProvider="AD"/>
        <Anchor>
          <Comment id="{BDA69F98-F9DD-4AE8-B292-B46BAF881BE4}"/>
        </Anchor>
        <SetTitle title="@Edmar Boechat como fazemos para sumrizar os alarmes e eventos"/>
      </Event>
    </History>
  </Task>
</Task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0</xdr:row>
      <xdr:rowOff>0</xdr:rowOff>
    </xdr:from>
    <xdr:to>
      <xdr:col>0</xdr:col>
      <xdr:colOff>2171700</xdr:colOff>
      <xdr:row>0</xdr:row>
      <xdr:rowOff>553256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4A1E5F76-6D65-4BDA-91FD-24C4A69F55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514350" y="0"/>
          <a:ext cx="1657350" cy="54182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382193</xdr:colOff>
      <xdr:row>2</xdr:row>
      <xdr:rowOff>117283</xdr:rowOff>
    </xdr:from>
    <xdr:to>
      <xdr:col>28</xdr:col>
      <xdr:colOff>396322</xdr:colOff>
      <xdr:row>27</xdr:row>
      <xdr:rowOff>93713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F0B51-2855-4CF8-B3CC-5004423BB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60193" y="536383"/>
          <a:ext cx="3671729" cy="47389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0</xdr:rowOff>
    </xdr:from>
    <xdr:to>
      <xdr:col>0</xdr:col>
      <xdr:colOff>2152650</xdr:colOff>
      <xdr:row>0</xdr:row>
      <xdr:rowOff>553256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B119F415-9C57-45B2-AB70-CC6A396D05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495300" y="0"/>
          <a:ext cx="1657350" cy="54563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0</xdr:rowOff>
    </xdr:from>
    <xdr:to>
      <xdr:col>0</xdr:col>
      <xdr:colOff>2167890</xdr:colOff>
      <xdr:row>0</xdr:row>
      <xdr:rowOff>549446</xdr:rowOff>
    </xdr:to>
    <xdr:pic>
      <xdr:nvPicPr>
        <xdr:cNvPr id="3" name="/xl/media/image1.png">
          <a:extLst>
            <a:ext uri="{FF2B5EF4-FFF2-40B4-BE49-F238E27FC236}">
              <a16:creationId xmlns:a16="http://schemas.microsoft.com/office/drawing/2014/main" id="{893CD2AE-5163-4D35-A43A-CE1897D1E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495300" y="0"/>
          <a:ext cx="1657350" cy="54182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0</xdr:col>
      <xdr:colOff>1698858</xdr:colOff>
      <xdr:row>0</xdr:row>
      <xdr:rowOff>591356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00395865-3D58-4081-AAD4-A63FFE32AC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0" y="38100"/>
          <a:ext cx="1679394" cy="53801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1</xdr:col>
      <xdr:colOff>262074</xdr:colOff>
      <xdr:row>0</xdr:row>
      <xdr:rowOff>576116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86C7FCE6-4526-4103-86F6-470B109704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0" y="38100"/>
          <a:ext cx="1672590" cy="53801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0</xdr:row>
      <xdr:rowOff>28575</xdr:rowOff>
    </xdr:from>
    <xdr:to>
      <xdr:col>0</xdr:col>
      <xdr:colOff>2053590</xdr:colOff>
      <xdr:row>0</xdr:row>
      <xdr:rowOff>570401</xdr:rowOff>
    </xdr:to>
    <xdr:pic>
      <xdr:nvPicPr>
        <xdr:cNvPr id="3" name="/xl/media/image1.png">
          <a:extLst>
            <a:ext uri="{FF2B5EF4-FFF2-40B4-BE49-F238E27FC236}">
              <a16:creationId xmlns:a16="http://schemas.microsoft.com/office/drawing/2014/main" id="{D6355AFA-5CBC-4542-986B-4501EEF375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390525" y="28575"/>
          <a:ext cx="1657350" cy="54182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38100</xdr:rowOff>
    </xdr:from>
    <xdr:to>
      <xdr:col>0</xdr:col>
      <xdr:colOff>1805940</xdr:colOff>
      <xdr:row>0</xdr:row>
      <xdr:rowOff>591356</xdr:rowOff>
    </xdr:to>
    <xdr:pic>
      <xdr:nvPicPr>
        <xdr:cNvPr id="3" name="/xl/media/image1.png">
          <a:extLst>
            <a:ext uri="{FF2B5EF4-FFF2-40B4-BE49-F238E27FC236}">
              <a16:creationId xmlns:a16="http://schemas.microsoft.com/office/drawing/2014/main" id="{68E30B8C-2DFA-4172-B091-783EC3F4B5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142875" y="38100"/>
          <a:ext cx="1657350" cy="54182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1</xdr:col>
      <xdr:colOff>190500</xdr:colOff>
      <xdr:row>0</xdr:row>
      <xdr:rowOff>593261</xdr:rowOff>
    </xdr:to>
    <xdr:pic>
      <xdr:nvPicPr>
        <xdr:cNvPr id="4" name="/xl/media/image1.png">
          <a:extLst>
            <a:ext uri="{FF2B5EF4-FFF2-40B4-BE49-F238E27FC236}">
              <a16:creationId xmlns:a16="http://schemas.microsoft.com/office/drawing/2014/main" id="{02F51024-3270-4C9F-8D37-F1CB32A016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0" y="47625"/>
          <a:ext cx="1657350" cy="54182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20873</xdr:colOff>
      <xdr:row>0</xdr:row>
      <xdr:rowOff>34290</xdr:rowOff>
    </xdr:from>
    <xdr:to>
      <xdr:col>2</xdr:col>
      <xdr:colOff>513334</xdr:colOff>
      <xdr:row>0</xdr:row>
      <xdr:rowOff>434423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DB732012-DB4F-4C42-9FC8-517BE5DC16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17063" y="34290"/>
          <a:ext cx="1246427" cy="405848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38100</xdr:rowOff>
    </xdr:from>
    <xdr:to>
      <xdr:col>0</xdr:col>
      <xdr:colOff>1733550</xdr:colOff>
      <xdr:row>0</xdr:row>
      <xdr:rowOff>579926</xdr:rowOff>
    </xdr:to>
    <xdr:pic>
      <xdr:nvPicPr>
        <xdr:cNvPr id="3" name="/xl/media/image1.png">
          <a:extLst>
            <a:ext uri="{FF2B5EF4-FFF2-40B4-BE49-F238E27FC236}">
              <a16:creationId xmlns:a16="http://schemas.microsoft.com/office/drawing/2014/main" id="{3D861E5A-93E6-4DCA-A958-DFA7CE681B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76200" y="38100"/>
          <a:ext cx="1657350" cy="541826"/>
        </a:xfrm>
        <a:prstGeom prst="rect">
          <a:avLst/>
        </a:prstGeom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UAM\Downloads\RVD_RANP44_Dashboard_Conecta_Ivestigacao_WORDLINK_v1.xlsx" TargetMode="External"/><Relationship Id="rId1" Type="http://schemas.openxmlformats.org/officeDocument/2006/relationships/externalLinkPath" Target="RVD_RANP44_Dashboard_Conecta_Ivestigacao_WORDLINK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LATORIO_META"/>
      <sheetName val="MAILMERGE_DATA"/>
      <sheetName val="CONEXOES"/>
      <sheetName val="LISTAS"/>
      <sheetName val="DASHBOARD"/>
      <sheetName val="README"/>
      <sheetName val="PARAMETROS"/>
      <sheetName val="TAGS_PI"/>
      <sheetName val="RAW_DAILY"/>
      <sheetName val="CALIBRACOES_K"/>
      <sheetName val="DAILY_SINGLE"/>
      <sheetName val="VERIFICAÇÃO_DES_PER"/>
      <sheetName val="EVENTOS_LOG"/>
      <sheetName val="DAILY_CALC"/>
      <sheetName val="RESUMO_MENSAL"/>
      <sheetName val="RESUMO_SEMANAL"/>
      <sheetName val="CHECKLIST_RTM4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dmar Boechat" id="{E5D04B5B-771B-4F4C-AA19-2CB65F839AB3}" userId="EDBO@equinor.com" providerId="PeoplePicker"/>
  <person displayName="Thiago Romeiro" id="{FDB103AF-BA8A-4F78-8C14-FD47C0D8D200}" userId="S::TROME@equinor.com::007a071c-177e-44fc-80d1-d9ea7e99ac9a" providerId="AD"/>
</personList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6-01-26T22:25:14.00" personId="{FDB103AF-BA8A-4F78-8C14-FD47C0D8D200}" id="{BDA69F98-F9DD-4AE8-B292-B46BAF881BE4}">
    <text>@Edmar Boechat como fazemos para sumrizar os alarmes e eventos</text>
    <mentions>
      <mention mentionpersonId="{E5D04B5B-771B-4F4C-AA19-2CB65F839AB3}" mentionId="{7173C483-80F8-42E1-8F15-F45AE7A87E66}" startIndex="0" length="14"/>
    </mentions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microsoft.com/office/2019/04/relationships/documenttask" Target="../documenttasks/documenttask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"/>
  <sheetViews>
    <sheetView zoomScale="110" zoomScaleNormal="110" workbookViewId="0">
      <pane ySplit="2" topLeftCell="A3" activePane="bottomLeft" state="frozen"/>
      <selection pane="bottomLeft" activeCell="B18" sqref="B18"/>
    </sheetView>
  </sheetViews>
  <sheetFormatPr defaultRowHeight="14.4" x14ac:dyDescent="0.3"/>
  <cols>
    <col min="1" max="1" width="72.5546875" customWidth="1"/>
    <col min="2" max="2" width="120" customWidth="1"/>
    <col min="3" max="10" width="12" customWidth="1"/>
  </cols>
  <sheetData>
    <row r="1" spans="1:10" ht="19.95" customHeight="1" x14ac:dyDescent="0.35">
      <c r="A1" s="144" t="s">
        <v>0</v>
      </c>
      <c r="B1" s="145"/>
      <c r="C1" s="145"/>
      <c r="D1" s="145"/>
      <c r="E1" s="145"/>
      <c r="F1" s="145"/>
      <c r="G1" s="145"/>
      <c r="H1" s="145"/>
      <c r="I1" s="145"/>
      <c r="J1" s="145"/>
    </row>
    <row r="3" spans="1:10" ht="28.8" x14ac:dyDescent="0.3">
      <c r="A3" s="46" t="s">
        <v>1</v>
      </c>
      <c r="B3" s="1" t="s">
        <v>2</v>
      </c>
    </row>
    <row r="4" spans="1:10" ht="28.8" x14ac:dyDescent="0.3">
      <c r="A4" s="46" t="s">
        <v>3</v>
      </c>
      <c r="B4" s="1" t="s">
        <v>4</v>
      </c>
    </row>
    <row r="5" spans="1:10" x14ac:dyDescent="0.3">
      <c r="A5" s="46"/>
      <c r="B5" s="1"/>
    </row>
    <row r="6" spans="1:10" x14ac:dyDescent="0.3">
      <c r="A6" s="46" t="s">
        <v>5</v>
      </c>
      <c r="B6" s="1" t="s">
        <v>6</v>
      </c>
    </row>
    <row r="7" spans="1:10" x14ac:dyDescent="0.3">
      <c r="A7" s="46"/>
      <c r="B7" s="1"/>
    </row>
    <row r="8" spans="1:10" x14ac:dyDescent="0.3">
      <c r="A8" s="46" t="s">
        <v>7</v>
      </c>
      <c r="B8" s="1" t="s">
        <v>8</v>
      </c>
    </row>
    <row r="13" spans="1:10" x14ac:dyDescent="0.3">
      <c r="A13" s="122" t="s">
        <v>531</v>
      </c>
    </row>
    <row r="14" spans="1:10" x14ac:dyDescent="0.3">
      <c r="A14" s="123" t="s">
        <v>532</v>
      </c>
    </row>
    <row r="15" spans="1:10" x14ac:dyDescent="0.3">
      <c r="A15" s="123" t="s">
        <v>533</v>
      </c>
    </row>
    <row r="16" spans="1:10" x14ac:dyDescent="0.3">
      <c r="A16" s="123" t="s">
        <v>534</v>
      </c>
    </row>
    <row r="17" spans="1:1" x14ac:dyDescent="0.3">
      <c r="A17" s="124" t="s">
        <v>535</v>
      </c>
    </row>
    <row r="18" spans="1:1" ht="83.4" x14ac:dyDescent="0.3">
      <c r="A18" s="124" t="s">
        <v>536</v>
      </c>
    </row>
    <row r="19" spans="1:1" ht="83.4" x14ac:dyDescent="0.3">
      <c r="A19" s="124" t="s">
        <v>537</v>
      </c>
    </row>
    <row r="20" spans="1:1" ht="83.4" x14ac:dyDescent="0.3">
      <c r="A20" s="124" t="s">
        <v>538</v>
      </c>
    </row>
  </sheetData>
  <mergeCells count="1">
    <mergeCell ref="A1:J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499984740745262"/>
  </sheetPr>
  <dimension ref="A1:D41"/>
  <sheetViews>
    <sheetView showGridLines="0" zoomScale="110" zoomScaleNormal="110" workbookViewId="0">
      <pane ySplit="3" topLeftCell="A4" activePane="bottomLeft" state="frozen"/>
      <selection pane="bottomLeft" sqref="A1:D4"/>
    </sheetView>
  </sheetViews>
  <sheetFormatPr defaultRowHeight="14.4" x14ac:dyDescent="0.3"/>
  <cols>
    <col min="1" max="4" width="41.88671875" customWidth="1"/>
  </cols>
  <sheetData>
    <row r="1" spans="1:4" ht="54" customHeight="1" x14ac:dyDescent="0.3">
      <c r="A1" s="38"/>
      <c r="B1" s="159" t="s">
        <v>562</v>
      </c>
      <c r="C1" s="159"/>
      <c r="D1" s="159"/>
    </row>
    <row r="2" spans="1:4" ht="19.95" customHeight="1" x14ac:dyDescent="0.35">
      <c r="A2" s="144" t="s">
        <v>10</v>
      </c>
      <c r="B2" s="145"/>
      <c r="C2" s="145"/>
      <c r="D2" s="145"/>
    </row>
    <row r="4" spans="1:4" ht="18" customHeight="1" x14ac:dyDescent="0.3">
      <c r="A4" s="147" t="s">
        <v>11</v>
      </c>
      <c r="B4" s="148"/>
      <c r="C4" s="148"/>
      <c r="D4" s="148"/>
    </row>
    <row r="5" spans="1:4" x14ac:dyDescent="0.3">
      <c r="A5" s="39" t="s">
        <v>12</v>
      </c>
      <c r="B5" s="2"/>
      <c r="C5" s="120" t="s">
        <v>13</v>
      </c>
      <c r="D5" s="2"/>
    </row>
    <row r="6" spans="1:4" x14ac:dyDescent="0.3">
      <c r="A6" s="39" t="s">
        <v>530</v>
      </c>
      <c r="B6" s="2"/>
      <c r="C6" s="120" t="s">
        <v>14</v>
      </c>
      <c r="D6" s="2"/>
    </row>
    <row r="7" spans="1:4" x14ac:dyDescent="0.3">
      <c r="A7" s="39" t="s">
        <v>15</v>
      </c>
      <c r="B7" s="42"/>
      <c r="C7" s="39" t="s">
        <v>16</v>
      </c>
      <c r="D7" s="2"/>
    </row>
    <row r="8" spans="1:4" x14ac:dyDescent="0.3">
      <c r="A8" s="39" t="s">
        <v>17</v>
      </c>
      <c r="B8" s="2"/>
      <c r="C8" s="39" t="s">
        <v>18</v>
      </c>
      <c r="D8" s="3"/>
    </row>
    <row r="10" spans="1:4" ht="18" customHeight="1" x14ac:dyDescent="0.3">
      <c r="A10" s="153" t="s">
        <v>19</v>
      </c>
      <c r="B10" s="153"/>
      <c r="C10" s="153"/>
      <c r="D10" s="153"/>
    </row>
    <row r="11" spans="1:4" x14ac:dyDescent="0.3">
      <c r="A11" s="39" t="s">
        <v>20</v>
      </c>
      <c r="B11" s="2"/>
      <c r="C11" s="39" t="s">
        <v>21</v>
      </c>
      <c r="D11" s="2"/>
    </row>
    <row r="12" spans="1:4" x14ac:dyDescent="0.3">
      <c r="A12" s="39" t="s">
        <v>22</v>
      </c>
      <c r="B12" s="2"/>
      <c r="C12" s="39" t="s">
        <v>23</v>
      </c>
      <c r="D12" s="2"/>
    </row>
    <row r="14" spans="1:4" ht="18" customHeight="1" x14ac:dyDescent="0.3">
      <c r="A14" s="153" t="s">
        <v>24</v>
      </c>
      <c r="B14" s="153"/>
      <c r="C14" s="153"/>
      <c r="D14" s="153"/>
    </row>
    <row r="15" spans="1:4" x14ac:dyDescent="0.3">
      <c r="A15" s="39" t="s">
        <v>25</v>
      </c>
      <c r="B15" s="2"/>
      <c r="C15" s="39" t="s">
        <v>26</v>
      </c>
      <c r="D15" s="2"/>
    </row>
    <row r="16" spans="1:4" x14ac:dyDescent="0.3">
      <c r="A16" s="39" t="s">
        <v>27</v>
      </c>
      <c r="B16" s="2"/>
      <c r="C16" s="39" t="s">
        <v>28</v>
      </c>
      <c r="D16" s="2"/>
    </row>
    <row r="17" spans="1:4" x14ac:dyDescent="0.3">
      <c r="A17" s="39" t="s">
        <v>29</v>
      </c>
      <c r="B17" s="2"/>
      <c r="C17" s="39" t="s">
        <v>30</v>
      </c>
      <c r="D17" s="2"/>
    </row>
    <row r="19" spans="1:4" ht="18" customHeight="1" x14ac:dyDescent="0.3">
      <c r="A19" s="147" t="s">
        <v>31</v>
      </c>
      <c r="B19" s="148"/>
      <c r="C19" s="148"/>
      <c r="D19" s="148"/>
    </row>
    <row r="20" spans="1:4" x14ac:dyDescent="0.3">
      <c r="A20" s="39" t="s">
        <v>32</v>
      </c>
      <c r="B20" s="2"/>
      <c r="C20" s="39" t="s">
        <v>33</v>
      </c>
      <c r="D20" s="2"/>
    </row>
    <row r="21" spans="1:4" x14ac:dyDescent="0.3">
      <c r="A21" s="39" t="s">
        <v>34</v>
      </c>
      <c r="B21" s="2"/>
      <c r="C21" s="39" t="s">
        <v>35</v>
      </c>
      <c r="D21" s="2"/>
    </row>
    <row r="23" spans="1:4" ht="18" customHeight="1" x14ac:dyDescent="0.3">
      <c r="A23" s="147" t="s">
        <v>36</v>
      </c>
      <c r="B23" s="148"/>
      <c r="C23" s="148"/>
      <c r="D23" s="148"/>
    </row>
    <row r="24" spans="1:4" ht="24" customHeight="1" x14ac:dyDescent="0.3">
      <c r="A24" s="39" t="s">
        <v>37</v>
      </c>
      <c r="B24" s="2"/>
      <c r="C24" s="39" t="s">
        <v>38</v>
      </c>
      <c r="D24" s="4"/>
    </row>
    <row r="25" spans="1:4" ht="17.25" customHeight="1" x14ac:dyDescent="0.3">
      <c r="A25" s="39" t="s">
        <v>39</v>
      </c>
      <c r="B25" s="4"/>
      <c r="C25" s="39" t="s">
        <v>40</v>
      </c>
      <c r="D25" s="4"/>
    </row>
    <row r="26" spans="1:4" ht="17.25" customHeight="1" x14ac:dyDescent="0.3">
      <c r="A26" s="39" t="s">
        <v>41</v>
      </c>
      <c r="B26" s="2"/>
      <c r="C26" s="39" t="s">
        <v>42</v>
      </c>
      <c r="D26" s="5"/>
    </row>
    <row r="27" spans="1:4" ht="19.2" customHeight="1" x14ac:dyDescent="0.3">
      <c r="A27" s="147" t="s">
        <v>43</v>
      </c>
      <c r="B27" s="148"/>
      <c r="C27" s="148"/>
      <c r="D27" s="148"/>
    </row>
    <row r="28" spans="1:4" ht="50.4" customHeight="1" x14ac:dyDescent="0.3">
      <c r="A28" s="149"/>
      <c r="B28" s="150"/>
      <c r="C28" s="150"/>
      <c r="D28" s="151"/>
    </row>
    <row r="29" spans="1:4" ht="13.8" customHeight="1" x14ac:dyDescent="0.3">
      <c r="A29" s="121"/>
      <c r="B29" s="121"/>
      <c r="C29" s="121"/>
      <c r="D29" s="121"/>
    </row>
    <row r="30" spans="1:4" ht="18.600000000000001" customHeight="1" x14ac:dyDescent="0.3">
      <c r="A30" s="146" t="s">
        <v>44</v>
      </c>
      <c r="B30" s="146"/>
      <c r="C30" s="146"/>
      <c r="D30" s="146"/>
    </row>
    <row r="31" spans="1:4" x14ac:dyDescent="0.3">
      <c r="A31" s="39" t="s">
        <v>45</v>
      </c>
      <c r="B31" s="74"/>
    </row>
    <row r="32" spans="1:4" x14ac:dyDescent="0.3">
      <c r="A32" s="39" t="s">
        <v>46</v>
      </c>
      <c r="B32" s="74"/>
    </row>
    <row r="33" spans="1:2" x14ac:dyDescent="0.3">
      <c r="A33" s="39" t="s">
        <v>540</v>
      </c>
      <c r="B33" s="74"/>
    </row>
    <row r="34" spans="1:2" x14ac:dyDescent="0.3">
      <c r="A34" s="39" t="s">
        <v>47</v>
      </c>
      <c r="B34" s="74"/>
    </row>
    <row r="35" spans="1:2" x14ac:dyDescent="0.3">
      <c r="A35" s="39" t="s">
        <v>48</v>
      </c>
      <c r="B35" s="74"/>
    </row>
    <row r="36" spans="1:2" x14ac:dyDescent="0.3">
      <c r="A36" s="39" t="s">
        <v>49</v>
      </c>
      <c r="B36" s="74"/>
    </row>
    <row r="37" spans="1:2" x14ac:dyDescent="0.3">
      <c r="A37" s="39" t="s">
        <v>50</v>
      </c>
      <c r="B37" s="74"/>
    </row>
    <row r="38" spans="1:2" x14ac:dyDescent="0.3">
      <c r="A38" s="39" t="s">
        <v>51</v>
      </c>
      <c r="B38" s="74"/>
    </row>
    <row r="39" spans="1:2" x14ac:dyDescent="0.3">
      <c r="A39" s="39" t="s">
        <v>539</v>
      </c>
      <c r="B39" s="74"/>
    </row>
    <row r="40" spans="1:2" x14ac:dyDescent="0.3">
      <c r="A40" s="39" t="s">
        <v>52</v>
      </c>
      <c r="B40" s="74"/>
    </row>
    <row r="41" spans="1:2" x14ac:dyDescent="0.3">
      <c r="A41" s="39" t="s">
        <v>541</v>
      </c>
      <c r="B41" s="74"/>
    </row>
  </sheetData>
  <mergeCells count="10">
    <mergeCell ref="A30:D30"/>
    <mergeCell ref="A27:D27"/>
    <mergeCell ref="A28:D28"/>
    <mergeCell ref="B1:D1"/>
    <mergeCell ref="A2:D2"/>
    <mergeCell ref="A10:D10"/>
    <mergeCell ref="A19:D19"/>
    <mergeCell ref="A23:D23"/>
    <mergeCell ref="A4:D4"/>
    <mergeCell ref="A14:D14"/>
  </mergeCells>
  <conditionalFormatting sqref="D26">
    <cfRule type="expression" dxfId="12" priority="1">
      <formula>AND(D26&lt;24,D26&lt;&gt;"")</formula>
    </cfRule>
  </conditionalFormatting>
  <dataValidations count="3">
    <dataValidation type="list" allowBlank="1" sqref="D5" xr:uid="{00000000-0002-0000-0100-000000000000}">
      <formula1>"Programado,Em Andamento,Concluído,Cancelado"</formula1>
    </dataValidation>
    <dataValidation type="list" allowBlank="1" sqref="B17" xr:uid="{00000000-0002-0000-0100-000001000000}">
      <formula1>"Dual Mode,Single Mode,Outro"</formula1>
    </dataValidation>
    <dataValidation type="list" allowBlank="1" sqref="D6" xr:uid="{449BFF71-A882-421C-9E97-6918E2296AA4}">
      <formula1>"APROVADO,REPROVADO,INCOMPLETO,CANCELADO"</formula1>
    </dataValidation>
  </dataValidations>
  <pageMargins left="0.75" right="0.75" top="1" bottom="1" header="0.5" footer="0.5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6BB28-9565-42ED-AAE0-69603B5ADCF6}">
  <sheetPr codeName="Sheet3"/>
  <dimension ref="B1:AK58"/>
  <sheetViews>
    <sheetView topLeftCell="A2" workbookViewId="0">
      <selection activeCell="E30" sqref="E30"/>
    </sheetView>
  </sheetViews>
  <sheetFormatPr defaultRowHeight="14.4" x14ac:dyDescent="0.3"/>
  <cols>
    <col min="2" max="2" width="11.6640625" bestFit="1" customWidth="1"/>
    <col min="3" max="3" width="13.44140625" bestFit="1" customWidth="1"/>
    <col min="4" max="4" width="13.5546875" bestFit="1" customWidth="1"/>
    <col min="10" max="11" width="9.33203125" bestFit="1" customWidth="1"/>
    <col min="12" max="12" width="12.33203125" bestFit="1" customWidth="1"/>
    <col min="13" max="16" width="9.33203125" bestFit="1" customWidth="1"/>
    <col min="19" max="22" width="9.33203125" bestFit="1" customWidth="1"/>
    <col min="31" max="31" width="19.6640625" bestFit="1" customWidth="1"/>
    <col min="32" max="32" width="13.6640625" style="30" bestFit="1" customWidth="1"/>
    <col min="33" max="33" width="10.6640625" style="30" bestFit="1" customWidth="1"/>
  </cols>
  <sheetData>
    <row r="1" spans="2:37" ht="16.8" x14ac:dyDescent="0.3">
      <c r="B1" s="28" t="s">
        <v>53</v>
      </c>
      <c r="C1" s="29" t="s">
        <v>54</v>
      </c>
    </row>
    <row r="2" spans="2:37" ht="16.8" x14ac:dyDescent="0.3">
      <c r="C2" s="31"/>
    </row>
    <row r="3" spans="2:37" x14ac:dyDescent="0.3">
      <c r="I3" s="28"/>
      <c r="J3" s="30" t="s">
        <v>55</v>
      </c>
      <c r="K3" s="32" t="s">
        <v>56</v>
      </c>
      <c r="L3" s="32" t="s">
        <v>57</v>
      </c>
      <c r="M3" s="30" t="s">
        <v>58</v>
      </c>
      <c r="N3" s="30" t="s">
        <v>59</v>
      </c>
      <c r="O3" s="30" t="s">
        <v>60</v>
      </c>
      <c r="P3" s="32"/>
      <c r="Q3" s="33" t="s">
        <v>60</v>
      </c>
      <c r="R3" s="33"/>
      <c r="S3" s="30" t="s">
        <v>61</v>
      </c>
      <c r="T3" s="30" t="s">
        <v>62</v>
      </c>
      <c r="U3" s="30" t="s">
        <v>63</v>
      </c>
      <c r="V3" s="30" t="s">
        <v>63</v>
      </c>
      <c r="W3" t="s">
        <v>64</v>
      </c>
      <c r="X3" s="28" t="s">
        <v>65</v>
      </c>
      <c r="Y3" t="s">
        <v>66</v>
      </c>
      <c r="Z3" t="s">
        <v>67</v>
      </c>
    </row>
    <row r="4" spans="2:37" x14ac:dyDescent="0.3">
      <c r="B4" t="s">
        <v>68</v>
      </c>
      <c r="C4" s="34" t="s">
        <v>60</v>
      </c>
      <c r="D4" s="35" t="s">
        <v>60</v>
      </c>
      <c r="I4" s="28"/>
      <c r="J4" s="30"/>
      <c r="K4" s="32" t="s">
        <v>69</v>
      </c>
      <c r="L4" s="32" t="s">
        <v>70</v>
      </c>
      <c r="M4" s="30" t="s">
        <v>71</v>
      </c>
      <c r="N4" s="30" t="s">
        <v>72</v>
      </c>
      <c r="O4" s="30" t="s">
        <v>73</v>
      </c>
      <c r="P4" s="32" t="s">
        <v>74</v>
      </c>
      <c r="Q4" s="33" t="s">
        <v>73</v>
      </c>
      <c r="R4" s="33" t="s">
        <v>74</v>
      </c>
      <c r="S4" s="30" t="s">
        <v>75</v>
      </c>
      <c r="T4" s="30" t="s">
        <v>75</v>
      </c>
      <c r="U4" s="30"/>
      <c r="V4" s="30"/>
      <c r="W4" s="28" t="s">
        <v>76</v>
      </c>
      <c r="X4" s="28" t="s">
        <v>77</v>
      </c>
      <c r="Y4" s="28" t="s">
        <v>78</v>
      </c>
      <c r="Z4" t="s">
        <v>79</v>
      </c>
    </row>
    <row r="5" spans="2:37" ht="16.8" x14ac:dyDescent="0.3">
      <c r="B5" s="29" t="s">
        <v>80</v>
      </c>
      <c r="C5" s="29">
        <v>0.77100000000000002</v>
      </c>
      <c r="D5" s="29">
        <v>0.77100000000000002</v>
      </c>
      <c r="I5" s="28"/>
      <c r="J5" s="30">
        <v>1</v>
      </c>
      <c r="K5" s="30">
        <v>621.95000000000005</v>
      </c>
      <c r="L5" s="30">
        <v>25.9</v>
      </c>
      <c r="M5" s="30">
        <v>0.81759999999999999</v>
      </c>
      <c r="N5" s="30">
        <v>4.99</v>
      </c>
      <c r="O5" s="30" t="e">
        <v>#NAME?</v>
      </c>
      <c r="P5" s="30" t="e">
        <v>#NAME?</v>
      </c>
      <c r="Q5" s="30" t="e">
        <v>#NAME?</v>
      </c>
      <c r="R5" s="30" t="e">
        <v>#NAME?</v>
      </c>
      <c r="S5" s="30">
        <v>2</v>
      </c>
      <c r="T5" s="30">
        <v>12</v>
      </c>
      <c r="U5" s="30" t="e">
        <v>#NAME?</v>
      </c>
      <c r="V5" s="30"/>
      <c r="W5" s="28">
        <v>9.8000000000000007</v>
      </c>
      <c r="X5" s="28">
        <v>0.5</v>
      </c>
      <c r="Y5" s="28">
        <v>1.1519999999999999</v>
      </c>
      <c r="Z5">
        <v>60</v>
      </c>
    </row>
    <row r="6" spans="2:37" x14ac:dyDescent="0.3">
      <c r="B6" s="28" t="s">
        <v>81</v>
      </c>
      <c r="C6" s="28">
        <v>3.1E-2</v>
      </c>
      <c r="D6" s="28">
        <v>3.1E-2</v>
      </c>
      <c r="I6" s="28"/>
      <c r="J6" s="30">
        <v>2</v>
      </c>
      <c r="K6" s="30">
        <v>621.90200000000004</v>
      </c>
      <c r="L6" s="30">
        <v>25.91</v>
      </c>
      <c r="M6" s="30">
        <v>0.81759999999999999</v>
      </c>
      <c r="N6" s="30">
        <v>4.99</v>
      </c>
      <c r="O6" s="30" t="e">
        <v>#NAME?</v>
      </c>
      <c r="P6" s="30" t="e">
        <v>#NAME?</v>
      </c>
      <c r="Q6" s="30" t="e">
        <v>#NAME?</v>
      </c>
      <c r="R6" s="30" t="e">
        <v>#NAME?</v>
      </c>
      <c r="S6" s="30">
        <v>2</v>
      </c>
      <c r="T6" s="30">
        <v>11.9</v>
      </c>
      <c r="U6" s="30" t="e">
        <v>#NAME?</v>
      </c>
      <c r="V6" s="30"/>
      <c r="W6" s="28">
        <v>9.8000000000000007</v>
      </c>
      <c r="X6" s="28">
        <v>0.6</v>
      </c>
      <c r="Y6" s="28">
        <v>1.157</v>
      </c>
      <c r="Z6">
        <v>60</v>
      </c>
    </row>
    <row r="7" spans="2:37" x14ac:dyDescent="0.3">
      <c r="B7" s="28" t="s">
        <v>82</v>
      </c>
      <c r="C7" s="28">
        <v>0</v>
      </c>
      <c r="D7" s="28">
        <v>0</v>
      </c>
      <c r="I7" s="28"/>
      <c r="J7" s="30">
        <v>3</v>
      </c>
      <c r="K7" s="30">
        <v>621.88</v>
      </c>
      <c r="L7" s="30">
        <v>25.97</v>
      </c>
      <c r="M7" s="30">
        <v>0.81759999999999999</v>
      </c>
      <c r="N7" s="30">
        <v>4.99</v>
      </c>
      <c r="O7" s="30" t="e">
        <v>#NAME?</v>
      </c>
      <c r="P7" s="30" t="e">
        <v>#NAME?</v>
      </c>
      <c r="Q7" s="30" t="e">
        <v>#NAME?</v>
      </c>
      <c r="R7" s="30" t="e">
        <v>#NAME?</v>
      </c>
      <c r="S7" s="30">
        <v>1.9</v>
      </c>
      <c r="T7" s="30">
        <v>12</v>
      </c>
      <c r="U7" s="30" t="e">
        <v>#NAME?</v>
      </c>
      <c r="V7" s="30"/>
      <c r="W7" s="28">
        <v>9.8000000000000007</v>
      </c>
      <c r="X7" s="28">
        <v>0.5</v>
      </c>
      <c r="Y7" s="28">
        <v>1.1619999999999999</v>
      </c>
      <c r="Z7">
        <v>60</v>
      </c>
      <c r="AI7" t="s">
        <v>83</v>
      </c>
      <c r="AJ7">
        <v>52.44</v>
      </c>
      <c r="AK7" t="s">
        <v>84</v>
      </c>
    </row>
    <row r="8" spans="2:37" x14ac:dyDescent="0.3">
      <c r="B8" s="28" t="s">
        <v>85</v>
      </c>
      <c r="C8" s="28">
        <v>84.537000000000006</v>
      </c>
      <c r="D8" s="28">
        <v>84.537000000000006</v>
      </c>
      <c r="I8" s="28"/>
      <c r="J8" s="30">
        <v>4</v>
      </c>
      <c r="K8" s="30">
        <v>621.85199999999998</v>
      </c>
      <c r="L8" s="30">
        <v>26.07</v>
      </c>
      <c r="M8" s="30">
        <v>0.81759999999999999</v>
      </c>
      <c r="N8" s="30">
        <v>4.9800000000000004</v>
      </c>
      <c r="O8" s="30" t="e">
        <v>#NAME?</v>
      </c>
      <c r="P8" s="30" t="e">
        <v>#NAME?</v>
      </c>
      <c r="Q8" s="30" t="e">
        <v>#NAME?</v>
      </c>
      <c r="R8" s="30" t="e">
        <v>#NAME?</v>
      </c>
      <c r="S8" s="30">
        <v>2</v>
      </c>
      <c r="T8" s="30">
        <v>12</v>
      </c>
      <c r="U8" s="30" t="e">
        <v>#NAME?</v>
      </c>
      <c r="V8" s="30"/>
      <c r="W8" s="28">
        <v>9.8000000000000007</v>
      </c>
      <c r="X8" s="28">
        <v>0.5</v>
      </c>
      <c r="Y8" s="28">
        <v>1.165</v>
      </c>
      <c r="Z8">
        <v>60</v>
      </c>
      <c r="AI8" t="s">
        <v>86</v>
      </c>
      <c r="AJ8">
        <v>1.15E-5</v>
      </c>
      <c r="AK8" t="s">
        <v>87</v>
      </c>
    </row>
    <row r="9" spans="2:37" x14ac:dyDescent="0.3">
      <c r="B9" s="28" t="s">
        <v>88</v>
      </c>
      <c r="C9" s="36">
        <v>8.4239999999999995</v>
      </c>
      <c r="D9" s="36">
        <v>8.4214000000000002</v>
      </c>
      <c r="I9" s="28"/>
      <c r="J9" s="30">
        <v>5</v>
      </c>
      <c r="K9" s="30">
        <v>621.88199999999995</v>
      </c>
      <c r="L9" s="30">
        <v>26.32</v>
      </c>
      <c r="M9" s="30">
        <v>0.81759999999999999</v>
      </c>
      <c r="N9" s="30">
        <v>4.9800000000000004</v>
      </c>
      <c r="O9" s="30" t="e">
        <v>#NAME?</v>
      </c>
      <c r="P9" s="30" t="e">
        <v>#NAME?</v>
      </c>
      <c r="Q9" s="30" t="e">
        <v>#NAME?</v>
      </c>
      <c r="R9" s="30" t="e">
        <v>#NAME?</v>
      </c>
      <c r="S9" s="30">
        <v>2</v>
      </c>
      <c r="T9" s="30">
        <v>12</v>
      </c>
      <c r="U9" s="30" t="e">
        <v>#NAME?</v>
      </c>
      <c r="V9" s="30"/>
      <c r="W9" s="28">
        <v>9.8000000000000007</v>
      </c>
      <c r="X9" s="28">
        <v>0.5</v>
      </c>
      <c r="Y9" s="28">
        <v>1.1679999999999999</v>
      </c>
      <c r="Z9">
        <v>60</v>
      </c>
      <c r="AI9" t="s">
        <v>89</v>
      </c>
      <c r="AJ9">
        <v>20</v>
      </c>
      <c r="AK9" t="s">
        <v>90</v>
      </c>
    </row>
    <row r="10" spans="2:37" x14ac:dyDescent="0.3">
      <c r="B10" s="28" t="s">
        <v>91</v>
      </c>
      <c r="C10" s="28">
        <v>3.84</v>
      </c>
      <c r="D10" s="28">
        <v>3.84</v>
      </c>
      <c r="I10" s="28"/>
      <c r="J10" s="30">
        <v>6</v>
      </c>
      <c r="K10" s="30">
        <v>621.971</v>
      </c>
      <c r="L10" s="30">
        <v>26.61</v>
      </c>
      <c r="M10" s="30">
        <v>0.81759999999999999</v>
      </c>
      <c r="N10" s="30">
        <v>4.9800000000000004</v>
      </c>
      <c r="O10" s="30" t="e">
        <v>#NAME?</v>
      </c>
      <c r="P10" s="30" t="e">
        <v>#NAME?</v>
      </c>
      <c r="Q10" s="30" t="e">
        <v>#NAME?</v>
      </c>
      <c r="R10" s="30" t="e">
        <v>#NAME?</v>
      </c>
      <c r="S10" s="30">
        <v>1.9</v>
      </c>
      <c r="T10" s="30">
        <v>12</v>
      </c>
      <c r="U10" s="30" t="e">
        <v>#NAME?</v>
      </c>
      <c r="V10" s="30"/>
      <c r="W10" s="28">
        <v>9.8000000000000007</v>
      </c>
      <c r="X10" s="28">
        <v>0.6</v>
      </c>
      <c r="Y10" s="28">
        <v>1.171</v>
      </c>
      <c r="Z10">
        <v>60</v>
      </c>
    </row>
    <row r="11" spans="2:37" x14ac:dyDescent="0.3">
      <c r="B11" s="28" t="s">
        <v>92</v>
      </c>
      <c r="C11" s="28">
        <v>0.65200000000000002</v>
      </c>
      <c r="D11" s="28">
        <v>0.65200000000000002</v>
      </c>
      <c r="I11" s="28"/>
      <c r="J11" s="30">
        <v>7</v>
      </c>
      <c r="K11" s="30">
        <v>622.01099999999997</v>
      </c>
      <c r="L11" s="30">
        <v>26.97</v>
      </c>
      <c r="M11" s="30">
        <v>0.81759999999999999</v>
      </c>
      <c r="N11" s="30">
        <v>4.97</v>
      </c>
      <c r="O11" s="30" t="e">
        <v>#NAME?</v>
      </c>
      <c r="P11" s="30" t="e">
        <v>#NAME?</v>
      </c>
      <c r="Q11" s="30" t="e">
        <v>#NAME?</v>
      </c>
      <c r="R11" s="30" t="e">
        <v>#NAME?</v>
      </c>
      <c r="S11" s="30">
        <v>2</v>
      </c>
      <c r="T11" s="30">
        <v>12</v>
      </c>
      <c r="U11" s="30" t="e">
        <v>#NAME?</v>
      </c>
      <c r="V11" s="30"/>
      <c r="W11" s="28">
        <v>9.8000000000000007</v>
      </c>
      <c r="X11" s="28">
        <v>0.5</v>
      </c>
      <c r="Y11" s="28">
        <v>1.171</v>
      </c>
      <c r="Z11">
        <v>60</v>
      </c>
      <c r="AI11" t="s">
        <v>93</v>
      </c>
      <c r="AJ11">
        <v>12.64</v>
      </c>
      <c r="AK11" t="s">
        <v>84</v>
      </c>
    </row>
    <row r="12" spans="2:37" x14ac:dyDescent="0.3">
      <c r="B12" s="28" t="s">
        <v>94</v>
      </c>
      <c r="C12" s="28">
        <v>0.97499999999999998</v>
      </c>
      <c r="D12" s="28">
        <v>0.97499999999999998</v>
      </c>
      <c r="I12" s="28"/>
      <c r="J12" s="30">
        <v>8</v>
      </c>
      <c r="K12" s="30">
        <v>622.06500000000005</v>
      </c>
      <c r="L12" s="30">
        <v>27.66</v>
      </c>
      <c r="M12" s="30">
        <v>0.81759999999999999</v>
      </c>
      <c r="N12" s="30">
        <v>4.96</v>
      </c>
      <c r="O12" s="30" t="e">
        <v>#NAME?</v>
      </c>
      <c r="P12" s="30" t="e">
        <v>#NAME?</v>
      </c>
      <c r="Q12" s="30" t="e">
        <v>#NAME?</v>
      </c>
      <c r="R12" s="30" t="e">
        <v>#NAME?</v>
      </c>
      <c r="S12" s="30">
        <v>2</v>
      </c>
      <c r="T12" s="30">
        <v>12</v>
      </c>
      <c r="U12" s="30" t="e">
        <v>#NAME?</v>
      </c>
      <c r="V12" s="30"/>
      <c r="W12" s="28">
        <v>9.8000000000000007</v>
      </c>
      <c r="X12" s="28">
        <v>0.5</v>
      </c>
      <c r="Y12" s="28">
        <v>1.163</v>
      </c>
      <c r="Z12">
        <v>60</v>
      </c>
      <c r="AF12" s="37"/>
      <c r="AI12" t="s">
        <v>95</v>
      </c>
      <c r="AJ12">
        <v>1.6650000000000002E-5</v>
      </c>
      <c r="AK12" t="s">
        <v>87</v>
      </c>
    </row>
    <row r="13" spans="2:37" x14ac:dyDescent="0.3">
      <c r="B13" s="28" t="s">
        <v>96</v>
      </c>
      <c r="C13" s="28">
        <v>0.247</v>
      </c>
      <c r="D13" s="28">
        <v>0.247</v>
      </c>
      <c r="I13" s="28"/>
      <c r="J13" s="30">
        <v>9</v>
      </c>
      <c r="K13" s="30">
        <v>622.09199999999998</v>
      </c>
      <c r="L13" s="30">
        <v>28.33</v>
      </c>
      <c r="M13" s="30">
        <v>0.81759999999999999</v>
      </c>
      <c r="N13" s="30">
        <v>4.95</v>
      </c>
      <c r="O13" s="30" t="e">
        <v>#NAME?</v>
      </c>
      <c r="P13" s="30" t="e">
        <v>#NAME?</v>
      </c>
      <c r="Q13" s="30" t="e">
        <v>#NAME?</v>
      </c>
      <c r="R13" s="30" t="e">
        <v>#NAME?</v>
      </c>
      <c r="S13" s="30">
        <v>2</v>
      </c>
      <c r="T13" s="30">
        <v>11.9</v>
      </c>
      <c r="U13" s="30" t="e">
        <v>#NAME?</v>
      </c>
      <c r="V13" s="30"/>
      <c r="W13" s="28">
        <v>9.8000000000000007</v>
      </c>
      <c r="X13" s="28">
        <v>0.5</v>
      </c>
      <c r="Y13" s="28">
        <v>1.169</v>
      </c>
      <c r="Z13">
        <v>60</v>
      </c>
      <c r="AI13" t="s">
        <v>89</v>
      </c>
      <c r="AJ13">
        <v>20</v>
      </c>
      <c r="AK13" t="s">
        <v>90</v>
      </c>
    </row>
    <row r="14" spans="2:37" x14ac:dyDescent="0.3">
      <c r="B14" s="28" t="s">
        <v>97</v>
      </c>
      <c r="C14" s="28">
        <v>0.23200000000000001</v>
      </c>
      <c r="D14" s="28">
        <v>0.23200000000000001</v>
      </c>
      <c r="I14" s="28"/>
      <c r="J14" s="30">
        <v>10</v>
      </c>
      <c r="K14" s="30">
        <v>622.09500000000003</v>
      </c>
      <c r="L14" s="30">
        <v>29.15</v>
      </c>
      <c r="M14" s="30">
        <v>0.81759999999999999</v>
      </c>
      <c r="N14" s="30">
        <v>4.93</v>
      </c>
      <c r="O14" s="30" t="e">
        <v>#NAME?</v>
      </c>
      <c r="P14" s="30" t="e">
        <v>#NAME?</v>
      </c>
      <c r="Q14" s="30" t="e">
        <v>#NAME?</v>
      </c>
      <c r="R14" s="30" t="e">
        <v>#NAME?</v>
      </c>
      <c r="S14" s="30">
        <v>1.9</v>
      </c>
      <c r="T14" s="30">
        <v>12</v>
      </c>
      <c r="U14" s="30" t="e">
        <v>#NAME?</v>
      </c>
      <c r="V14" s="30"/>
      <c r="W14" s="28">
        <v>9.8000000000000007</v>
      </c>
      <c r="X14" s="28">
        <v>0.5</v>
      </c>
      <c r="Y14" s="28">
        <v>1.169</v>
      </c>
      <c r="Z14">
        <v>60</v>
      </c>
    </row>
    <row r="15" spans="2:37" x14ac:dyDescent="0.3">
      <c r="B15" s="28" t="s">
        <v>98</v>
      </c>
      <c r="C15" s="28">
        <v>0.11700000000000001</v>
      </c>
      <c r="D15" s="28">
        <v>0.11700000000000001</v>
      </c>
      <c r="I15" s="28"/>
      <c r="J15" s="30">
        <v>11</v>
      </c>
      <c r="K15" s="30">
        <v>622.09100000000001</v>
      </c>
      <c r="L15" s="30">
        <v>30.84</v>
      </c>
      <c r="M15" s="30">
        <v>0.81759999999999999</v>
      </c>
      <c r="N15" s="30">
        <v>4.9000000000000004</v>
      </c>
      <c r="O15" s="30" t="e">
        <v>#NAME?</v>
      </c>
      <c r="P15" s="30" t="e">
        <v>#NAME?</v>
      </c>
      <c r="Q15" s="30" t="e">
        <v>#NAME?</v>
      </c>
      <c r="R15" s="30" t="e">
        <v>#NAME?</v>
      </c>
      <c r="S15" s="30">
        <v>2</v>
      </c>
      <c r="T15" s="30">
        <v>11.9</v>
      </c>
      <c r="U15" s="30" t="e">
        <v>#NAME?</v>
      </c>
      <c r="V15" s="30"/>
      <c r="W15" s="28">
        <v>9.6999999999999993</v>
      </c>
      <c r="X15" s="28">
        <v>0.6</v>
      </c>
      <c r="Y15" s="28">
        <v>1.1719999999999999</v>
      </c>
      <c r="Z15">
        <v>60</v>
      </c>
      <c r="AI15" t="s">
        <v>99</v>
      </c>
      <c r="AJ15">
        <v>11.33</v>
      </c>
      <c r="AK15" t="s">
        <v>100</v>
      </c>
    </row>
    <row r="16" spans="2:37" x14ac:dyDescent="0.3">
      <c r="B16" s="28" t="s">
        <v>101</v>
      </c>
      <c r="C16" s="28">
        <v>3.9E-2</v>
      </c>
      <c r="D16" s="28">
        <v>3.9E-2</v>
      </c>
      <c r="I16" s="28"/>
      <c r="J16" s="30">
        <v>12</v>
      </c>
      <c r="K16" s="30">
        <v>622.10799999999995</v>
      </c>
      <c r="L16" s="30">
        <v>31.16</v>
      </c>
      <c r="M16" s="30">
        <v>0.81759999999999999</v>
      </c>
      <c r="N16" s="30">
        <v>4.9000000000000004</v>
      </c>
      <c r="O16" s="30" t="e">
        <v>#NAME?</v>
      </c>
      <c r="P16" s="30" t="e">
        <v>#NAME?</v>
      </c>
      <c r="Q16" s="30" t="e">
        <v>#NAME?</v>
      </c>
      <c r="R16" s="30" t="e">
        <v>#NAME?</v>
      </c>
      <c r="S16" s="30">
        <v>2</v>
      </c>
      <c r="T16" s="30">
        <v>12</v>
      </c>
      <c r="U16" s="30" t="e">
        <v>#NAME?</v>
      </c>
      <c r="V16" s="30"/>
      <c r="W16" s="28">
        <v>9.8000000000000007</v>
      </c>
      <c r="X16" s="28">
        <v>0.5</v>
      </c>
      <c r="Y16" s="28">
        <v>1.1739999999999999</v>
      </c>
      <c r="Z16">
        <v>60</v>
      </c>
      <c r="AI16" t="s">
        <v>102</v>
      </c>
      <c r="AK16" t="s">
        <v>103</v>
      </c>
    </row>
    <row r="17" spans="2:37" x14ac:dyDescent="0.3">
      <c r="B17" s="28" t="s">
        <v>104</v>
      </c>
      <c r="C17" s="28">
        <v>8.6999999999999994E-2</v>
      </c>
      <c r="D17" s="28">
        <v>8.6999999999999994E-2</v>
      </c>
      <c r="I17" s="28"/>
      <c r="J17" s="30">
        <v>13</v>
      </c>
      <c r="K17" s="30">
        <v>622.04499999999996</v>
      </c>
      <c r="L17" s="30">
        <v>32.619999999999997</v>
      </c>
      <c r="M17" s="30">
        <v>0.81759999999999999</v>
      </c>
      <c r="N17" s="30">
        <v>4.87</v>
      </c>
      <c r="O17" s="30" t="e">
        <v>#NAME?</v>
      </c>
      <c r="P17" s="30" t="e">
        <v>#NAME?</v>
      </c>
      <c r="Q17" s="30" t="e">
        <v>#NAME?</v>
      </c>
      <c r="R17" s="30" t="e">
        <v>#NAME?</v>
      </c>
      <c r="S17" s="30">
        <v>2</v>
      </c>
      <c r="T17" s="30">
        <v>11.9</v>
      </c>
      <c r="U17" s="30" t="e">
        <v>#NAME?</v>
      </c>
      <c r="V17" s="30"/>
      <c r="W17" s="28">
        <v>9.6999999999999993</v>
      </c>
      <c r="X17" s="28">
        <v>0.5</v>
      </c>
      <c r="Y17" s="28">
        <v>1.179</v>
      </c>
      <c r="Z17">
        <v>60</v>
      </c>
      <c r="AI17" t="s">
        <v>105</v>
      </c>
      <c r="AJ17">
        <v>20</v>
      </c>
      <c r="AK17" t="s">
        <v>90</v>
      </c>
    </row>
    <row r="18" spans="2:37" x14ac:dyDescent="0.3">
      <c r="B18" s="28" t="s">
        <v>106</v>
      </c>
      <c r="C18" s="28">
        <v>3.4000000000000002E-2</v>
      </c>
      <c r="D18" s="28">
        <v>3.4000000000000002E-2</v>
      </c>
      <c r="I18" s="28"/>
      <c r="J18" s="30">
        <v>14</v>
      </c>
      <c r="K18" s="30">
        <v>621.91399999999999</v>
      </c>
      <c r="L18" s="30">
        <v>34.64</v>
      </c>
      <c r="M18" s="30">
        <v>0.81759999999999999</v>
      </c>
      <c r="N18" s="30">
        <v>4.84</v>
      </c>
      <c r="O18" s="30" t="e">
        <v>#NAME?</v>
      </c>
      <c r="P18" s="30" t="e">
        <v>#NAME?</v>
      </c>
      <c r="Q18" s="30" t="e">
        <v>#NAME?</v>
      </c>
      <c r="R18" s="30" t="e">
        <v>#NAME?</v>
      </c>
      <c r="S18" s="30">
        <v>2</v>
      </c>
      <c r="T18" s="30">
        <v>11.9</v>
      </c>
      <c r="U18" s="30" t="e">
        <v>#NAME?</v>
      </c>
      <c r="V18" s="30"/>
      <c r="W18" s="28">
        <v>9.8000000000000007</v>
      </c>
      <c r="X18" s="28">
        <v>0.5</v>
      </c>
      <c r="Y18" s="28">
        <v>1.181</v>
      </c>
      <c r="Z18">
        <v>60</v>
      </c>
      <c r="AI18" t="s">
        <v>107</v>
      </c>
      <c r="AK18" t="s">
        <v>108</v>
      </c>
    </row>
    <row r="19" spans="2:37" x14ac:dyDescent="0.3">
      <c r="B19" s="28" t="s">
        <v>109</v>
      </c>
      <c r="C19" s="28">
        <v>1.2999999999999999E-2</v>
      </c>
      <c r="D19" s="28">
        <v>1.2999999999999999E-2</v>
      </c>
      <c r="I19" s="28"/>
      <c r="J19" s="30">
        <v>15</v>
      </c>
      <c r="K19" s="30">
        <v>621.83699999999999</v>
      </c>
      <c r="L19" s="30">
        <v>38.21</v>
      </c>
      <c r="M19" s="30">
        <v>0.81759999999999999</v>
      </c>
      <c r="N19" s="30">
        <v>4.78</v>
      </c>
      <c r="O19" s="30" t="e">
        <v>#NAME?</v>
      </c>
      <c r="P19" s="30" t="e">
        <v>#NAME?</v>
      </c>
      <c r="Q19" s="30" t="e">
        <v>#NAME?</v>
      </c>
      <c r="R19" s="30" t="e">
        <v>#NAME?</v>
      </c>
      <c r="S19" s="30">
        <v>2.1</v>
      </c>
      <c r="T19" s="30">
        <v>11.9</v>
      </c>
      <c r="U19" s="30" t="e">
        <v>#NAME?</v>
      </c>
      <c r="V19" s="30"/>
      <c r="W19" s="28">
        <v>9.6999999999999993</v>
      </c>
      <c r="X19" s="28">
        <v>0.5</v>
      </c>
      <c r="Y19" s="28">
        <v>1.1830000000000001</v>
      </c>
      <c r="Z19">
        <v>60</v>
      </c>
      <c r="AI19" t="s">
        <v>110</v>
      </c>
      <c r="AK19" t="s">
        <v>72</v>
      </c>
    </row>
    <row r="20" spans="2:37" x14ac:dyDescent="0.3">
      <c r="I20" s="28"/>
      <c r="J20" s="30">
        <v>16</v>
      </c>
      <c r="K20" s="30">
        <v>621.87900000000002</v>
      </c>
      <c r="L20" s="30">
        <v>39.69</v>
      </c>
      <c r="M20" s="30">
        <v>0.81759999999999999</v>
      </c>
      <c r="N20" s="30">
        <v>4.76</v>
      </c>
      <c r="O20" s="30" t="e">
        <v>#NAME?</v>
      </c>
      <c r="P20" s="30" t="e">
        <v>#NAME?</v>
      </c>
      <c r="Q20" s="30" t="e">
        <v>#NAME?</v>
      </c>
      <c r="R20" s="30" t="e">
        <v>#NAME?</v>
      </c>
      <c r="S20" s="30">
        <v>2</v>
      </c>
      <c r="T20" s="30">
        <v>11.6</v>
      </c>
      <c r="U20" s="30" t="e">
        <v>#NAME?</v>
      </c>
      <c r="V20" s="30"/>
      <c r="W20" s="28">
        <v>9.5</v>
      </c>
      <c r="X20" s="28">
        <v>0.6</v>
      </c>
      <c r="Y20" s="28">
        <v>1.1399999999999999</v>
      </c>
      <c r="Z20">
        <v>60</v>
      </c>
      <c r="AI20" t="s">
        <v>111</v>
      </c>
      <c r="AJ20">
        <v>0.81799999999999995</v>
      </c>
      <c r="AK20" t="s">
        <v>112</v>
      </c>
    </row>
    <row r="21" spans="2:37" x14ac:dyDescent="0.3">
      <c r="I21" s="28"/>
      <c r="J21" s="30">
        <v>17</v>
      </c>
      <c r="K21" s="30">
        <v>621.80799999999999</v>
      </c>
      <c r="L21" s="30">
        <v>39.46</v>
      </c>
      <c r="M21" s="30">
        <v>0.81759999999999999</v>
      </c>
      <c r="N21" s="30">
        <v>4.76</v>
      </c>
      <c r="O21" s="30" t="e">
        <v>#NAME?</v>
      </c>
      <c r="P21" s="30" t="e">
        <v>#NAME?</v>
      </c>
      <c r="Q21" s="30" t="e">
        <v>#NAME?</v>
      </c>
      <c r="R21" s="30" t="e">
        <v>#NAME?</v>
      </c>
      <c r="S21" s="30">
        <v>2</v>
      </c>
      <c r="T21" s="30">
        <v>11.6</v>
      </c>
      <c r="U21" s="30" t="e">
        <v>#NAME?</v>
      </c>
      <c r="V21" s="30"/>
      <c r="W21" s="28">
        <v>9.5</v>
      </c>
      <c r="X21" s="28">
        <v>0.5</v>
      </c>
      <c r="Y21" s="28">
        <v>1.1459999999999999</v>
      </c>
      <c r="Z21">
        <v>60</v>
      </c>
      <c r="AI21" t="s">
        <v>113</v>
      </c>
      <c r="AJ21">
        <v>1.26</v>
      </c>
    </row>
    <row r="22" spans="2:37" x14ac:dyDescent="0.3">
      <c r="I22" s="28"/>
      <c r="J22" s="30">
        <v>18</v>
      </c>
      <c r="K22" s="30">
        <v>621.74599999999998</v>
      </c>
      <c r="L22" s="30">
        <v>35.01</v>
      </c>
      <c r="M22" s="30">
        <v>0.81759999999999999</v>
      </c>
      <c r="N22" s="30">
        <v>4.83</v>
      </c>
      <c r="O22" s="30" t="e">
        <v>#NAME?</v>
      </c>
      <c r="P22" s="30" t="e">
        <v>#NAME?</v>
      </c>
      <c r="Q22" s="30" t="e">
        <v>#NAME?</v>
      </c>
      <c r="R22" s="30" t="e">
        <v>#NAME?</v>
      </c>
      <c r="S22" s="30">
        <v>2</v>
      </c>
      <c r="T22" s="30">
        <v>11.8</v>
      </c>
      <c r="U22" s="30" t="e">
        <v>#NAME?</v>
      </c>
      <c r="V22" s="30"/>
      <c r="W22" s="28">
        <v>9.6</v>
      </c>
      <c r="X22" s="28">
        <v>0.5</v>
      </c>
      <c r="Y22" s="28">
        <v>1.1639999999999999</v>
      </c>
      <c r="Z22">
        <v>60</v>
      </c>
    </row>
    <row r="23" spans="2:37" x14ac:dyDescent="0.3">
      <c r="I23" s="28"/>
      <c r="J23" s="30">
        <v>19</v>
      </c>
      <c r="K23" s="30">
        <v>621.86</v>
      </c>
      <c r="L23" s="30">
        <v>31.68</v>
      </c>
      <c r="M23" s="30">
        <v>0.81759999999999999</v>
      </c>
      <c r="N23" s="30">
        <v>4.8899999999999997</v>
      </c>
      <c r="O23" s="30" t="e">
        <v>#NAME?</v>
      </c>
      <c r="P23" s="30" t="e">
        <v>#NAME?</v>
      </c>
      <c r="Q23" s="30" t="e">
        <v>#NAME?</v>
      </c>
      <c r="R23" s="30" t="e">
        <v>#NAME?</v>
      </c>
      <c r="S23" s="30">
        <v>1.9</v>
      </c>
      <c r="T23" s="30">
        <v>11.9</v>
      </c>
      <c r="U23" s="30" t="e">
        <v>#NAME?</v>
      </c>
      <c r="V23" s="30"/>
      <c r="W23" s="28">
        <v>9.6999999999999993</v>
      </c>
      <c r="X23" s="28">
        <v>0.5</v>
      </c>
      <c r="Y23" s="28">
        <v>1.1619999999999999</v>
      </c>
      <c r="Z23">
        <v>60</v>
      </c>
    </row>
    <row r="24" spans="2:37" x14ac:dyDescent="0.3">
      <c r="I24" s="28"/>
      <c r="J24" s="30">
        <v>20</v>
      </c>
      <c r="K24" s="30">
        <v>622.00699999999995</v>
      </c>
      <c r="L24" s="30">
        <v>29.27</v>
      </c>
      <c r="M24" s="30">
        <v>0.81759999999999999</v>
      </c>
      <c r="N24" s="30">
        <v>4.93</v>
      </c>
      <c r="O24" s="30" t="e">
        <v>#NAME?</v>
      </c>
      <c r="P24" s="30" t="e">
        <v>#NAME?</v>
      </c>
      <c r="Q24" s="30" t="e">
        <v>#NAME?</v>
      </c>
      <c r="R24" s="30" t="e">
        <v>#NAME?</v>
      </c>
      <c r="S24" s="30">
        <v>2</v>
      </c>
      <c r="T24" s="30">
        <v>11.9</v>
      </c>
      <c r="U24" s="30" t="e">
        <v>#NAME?</v>
      </c>
      <c r="V24" s="30"/>
      <c r="W24" s="28">
        <v>9.8000000000000007</v>
      </c>
      <c r="X24" s="28">
        <v>0.5</v>
      </c>
      <c r="Y24" s="28">
        <v>1.165</v>
      </c>
      <c r="Z24">
        <v>60</v>
      </c>
    </row>
    <row r="25" spans="2:37" x14ac:dyDescent="0.3">
      <c r="I25" s="28"/>
      <c r="J25" s="30">
        <v>21</v>
      </c>
      <c r="K25" s="30">
        <v>622.11900000000003</v>
      </c>
      <c r="L25" s="30">
        <v>28</v>
      </c>
      <c r="M25" s="30">
        <v>0.81759999999999999</v>
      </c>
      <c r="N25" s="30">
        <v>4.95</v>
      </c>
      <c r="O25" s="30" t="e">
        <v>#NAME?</v>
      </c>
      <c r="P25" s="30" t="e">
        <v>#NAME?</v>
      </c>
      <c r="Q25" s="30" t="e">
        <v>#NAME?</v>
      </c>
      <c r="R25" s="30" t="e">
        <v>#NAME?</v>
      </c>
      <c r="S25" s="30">
        <v>2</v>
      </c>
      <c r="T25" s="30">
        <v>12</v>
      </c>
      <c r="U25" s="30" t="e">
        <v>#NAME?</v>
      </c>
      <c r="V25" s="30"/>
      <c r="W25" s="28">
        <v>9.8000000000000007</v>
      </c>
      <c r="X25" s="28">
        <v>0.5</v>
      </c>
      <c r="Y25" s="28">
        <v>1.167</v>
      </c>
      <c r="Z25">
        <v>60</v>
      </c>
    </row>
    <row r="26" spans="2:37" x14ac:dyDescent="0.3">
      <c r="I26" s="28"/>
      <c r="J26" s="30">
        <v>22</v>
      </c>
      <c r="K26" s="30">
        <v>622.14800000000002</v>
      </c>
      <c r="L26" s="30">
        <v>27.49</v>
      </c>
      <c r="M26" s="30">
        <v>0.81759999999999999</v>
      </c>
      <c r="N26" s="30">
        <v>4.96</v>
      </c>
      <c r="O26" s="30" t="e">
        <v>#NAME?</v>
      </c>
      <c r="P26" s="30" t="e">
        <v>#NAME?</v>
      </c>
      <c r="Q26" s="30" t="e">
        <v>#NAME?</v>
      </c>
      <c r="R26" s="30" t="e">
        <v>#NAME?</v>
      </c>
      <c r="S26" s="30">
        <v>2</v>
      </c>
      <c r="T26" s="30">
        <v>12</v>
      </c>
      <c r="U26" s="30" t="e">
        <v>#NAME?</v>
      </c>
      <c r="V26" s="30"/>
      <c r="W26" s="28">
        <v>9.8000000000000007</v>
      </c>
      <c r="X26" s="28">
        <v>0.6</v>
      </c>
      <c r="Y26" s="28">
        <v>1.1679999999999999</v>
      </c>
      <c r="Z26">
        <v>60</v>
      </c>
    </row>
    <row r="27" spans="2:37" x14ac:dyDescent="0.3">
      <c r="I27" s="28"/>
      <c r="J27" s="30">
        <v>23</v>
      </c>
      <c r="K27" s="30">
        <v>622.14300000000003</v>
      </c>
      <c r="L27" s="30">
        <v>27.27</v>
      </c>
      <c r="M27" s="30">
        <v>0.81759999999999999</v>
      </c>
      <c r="N27" s="30">
        <v>4.97</v>
      </c>
      <c r="O27" s="30" t="e">
        <v>#NAME?</v>
      </c>
      <c r="P27" s="30" t="e">
        <v>#NAME?</v>
      </c>
      <c r="Q27" s="30" t="e">
        <v>#NAME?</v>
      </c>
      <c r="R27" s="30" t="e">
        <v>#NAME?</v>
      </c>
      <c r="S27" s="30">
        <v>1.9</v>
      </c>
      <c r="T27" s="30">
        <v>12</v>
      </c>
      <c r="U27" s="30" t="e">
        <v>#NAME?</v>
      </c>
      <c r="V27" s="30"/>
      <c r="W27" s="28">
        <v>9.8000000000000007</v>
      </c>
      <c r="X27" s="28">
        <v>0.5</v>
      </c>
      <c r="Y27" s="28">
        <v>1.1679999999999999</v>
      </c>
      <c r="Z27">
        <v>60</v>
      </c>
    </row>
    <row r="28" spans="2:37" x14ac:dyDescent="0.3">
      <c r="I28" s="28"/>
      <c r="J28" s="30">
        <v>24</v>
      </c>
      <c r="K28" s="30">
        <v>622.16600000000005</v>
      </c>
      <c r="L28" s="30">
        <v>27.18</v>
      </c>
      <c r="M28" s="30">
        <v>0.81759999999999999</v>
      </c>
      <c r="N28" s="30">
        <v>4.97</v>
      </c>
      <c r="O28" s="30" t="e">
        <v>#NAME?</v>
      </c>
      <c r="P28" s="30" t="e">
        <v>#NAME?</v>
      </c>
      <c r="Q28" s="30" t="e">
        <v>#NAME?</v>
      </c>
      <c r="R28" s="30" t="e">
        <v>#NAME?</v>
      </c>
      <c r="S28" s="30">
        <v>2</v>
      </c>
      <c r="T28" s="30">
        <v>12</v>
      </c>
      <c r="U28" s="30" t="e">
        <v>#NAME?</v>
      </c>
      <c r="V28" s="30"/>
      <c r="W28" s="28">
        <v>9.8000000000000007</v>
      </c>
      <c r="X28" s="28">
        <v>0.5</v>
      </c>
      <c r="Y28" s="28">
        <v>1.1679999999999999</v>
      </c>
      <c r="Z28">
        <v>60</v>
      </c>
    </row>
    <row r="29" spans="2:37" x14ac:dyDescent="0.3"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2:37" x14ac:dyDescent="0.3">
      <c r="B30" t="s">
        <v>114</v>
      </c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2:37" x14ac:dyDescent="0.3"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2:37" x14ac:dyDescent="0.3"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</row>
    <row r="33" spans="10:26" x14ac:dyDescent="0.3">
      <c r="J33" s="30" t="s">
        <v>55</v>
      </c>
      <c r="K33" s="32" t="s">
        <v>56</v>
      </c>
      <c r="L33" s="32" t="s">
        <v>57</v>
      </c>
      <c r="M33" s="30" t="s">
        <v>58</v>
      </c>
      <c r="N33" s="30" t="s">
        <v>59</v>
      </c>
      <c r="O33" s="30"/>
      <c r="P33" s="32"/>
      <c r="Q33" s="33"/>
      <c r="R33" s="33"/>
      <c r="S33" s="30" t="s">
        <v>61</v>
      </c>
      <c r="T33" s="30" t="s">
        <v>62</v>
      </c>
      <c r="U33" s="30" t="s">
        <v>63</v>
      </c>
      <c r="V33" s="30"/>
      <c r="W33" t="s">
        <v>64</v>
      </c>
      <c r="X33" t="s">
        <v>65</v>
      </c>
      <c r="Y33" t="s">
        <v>66</v>
      </c>
      <c r="Z33" t="s">
        <v>67</v>
      </c>
    </row>
    <row r="34" spans="10:26" x14ac:dyDescent="0.3">
      <c r="J34" s="30"/>
      <c r="K34" s="32" t="s">
        <v>69</v>
      </c>
      <c r="L34" s="32" t="s">
        <v>70</v>
      </c>
      <c r="M34" s="30" t="s">
        <v>71</v>
      </c>
      <c r="N34" s="30" t="s">
        <v>72</v>
      </c>
      <c r="O34" s="30"/>
      <c r="P34" s="32"/>
      <c r="Q34" s="33"/>
      <c r="R34" s="33"/>
      <c r="S34" s="30" t="s">
        <v>75</v>
      </c>
      <c r="T34" s="30" t="s">
        <v>75</v>
      </c>
      <c r="U34" s="30"/>
      <c r="V34" s="30"/>
      <c r="W34" t="s">
        <v>77</v>
      </c>
      <c r="X34" t="s">
        <v>78</v>
      </c>
      <c r="Y34" t="s">
        <v>79</v>
      </c>
    </row>
    <row r="35" spans="10:26" x14ac:dyDescent="0.3">
      <c r="J35" s="30">
        <v>1</v>
      </c>
      <c r="K35" s="30">
        <v>622.00300000000004</v>
      </c>
      <c r="L35" s="30">
        <v>25.75</v>
      </c>
      <c r="M35" s="30">
        <v>0.80230000000000001</v>
      </c>
      <c r="N35" s="30">
        <v>4.8899999999999997</v>
      </c>
      <c r="O35" s="30"/>
      <c r="P35" s="30"/>
      <c r="Q35" s="30"/>
      <c r="R35" s="30"/>
      <c r="S35" s="30">
        <v>1.7</v>
      </c>
      <c r="T35" s="30">
        <v>10.4</v>
      </c>
      <c r="U35" s="30"/>
      <c r="V35" s="30"/>
      <c r="W35">
        <v>8.4</v>
      </c>
      <c r="X35">
        <v>0.4</v>
      </c>
      <c r="Y35">
        <v>0.94199999999999995</v>
      </c>
      <c r="Z35">
        <v>60</v>
      </c>
    </row>
    <row r="36" spans="10:26" x14ac:dyDescent="0.3">
      <c r="J36" s="30">
        <v>2</v>
      </c>
      <c r="K36" s="30">
        <v>621.94899999999996</v>
      </c>
      <c r="L36" s="30">
        <v>25.48</v>
      </c>
      <c r="M36" s="30">
        <v>0.80230000000000001</v>
      </c>
      <c r="N36" s="30">
        <v>4.9000000000000004</v>
      </c>
      <c r="O36" s="30"/>
      <c r="P36" s="30"/>
      <c r="Q36" s="30"/>
      <c r="R36" s="30"/>
      <c r="S36" s="30">
        <v>1.7</v>
      </c>
      <c r="T36" s="30">
        <v>10.5</v>
      </c>
      <c r="U36" s="30"/>
      <c r="V36" s="30"/>
      <c r="W36">
        <v>8.4</v>
      </c>
      <c r="X36">
        <v>0.4</v>
      </c>
      <c r="Y36">
        <v>0.95099999999999996</v>
      </c>
      <c r="Z36">
        <v>60</v>
      </c>
    </row>
    <row r="37" spans="10:26" x14ac:dyDescent="0.3">
      <c r="J37" s="30">
        <v>3</v>
      </c>
      <c r="K37" s="30">
        <v>621.88300000000004</v>
      </c>
      <c r="L37" s="30">
        <v>25.34</v>
      </c>
      <c r="M37" s="30">
        <v>0.80230000000000001</v>
      </c>
      <c r="N37" s="30">
        <v>4.9000000000000004</v>
      </c>
      <c r="O37" s="30"/>
      <c r="P37" s="30"/>
      <c r="Q37" s="30"/>
      <c r="R37" s="30"/>
      <c r="S37" s="30">
        <v>1.8</v>
      </c>
      <c r="T37" s="30">
        <v>10.6</v>
      </c>
      <c r="U37" s="30"/>
      <c r="V37" s="30"/>
      <c r="W37">
        <v>8.5</v>
      </c>
      <c r="X37">
        <v>0.5</v>
      </c>
      <c r="Y37">
        <v>0.97</v>
      </c>
      <c r="Z37">
        <v>60</v>
      </c>
    </row>
    <row r="38" spans="10:26" x14ac:dyDescent="0.3">
      <c r="J38" s="30">
        <v>4</v>
      </c>
      <c r="K38" s="30">
        <v>621.851</v>
      </c>
      <c r="L38" s="30">
        <v>25.29</v>
      </c>
      <c r="M38" s="30">
        <v>0.80230000000000001</v>
      </c>
      <c r="N38" s="30">
        <v>4.9000000000000004</v>
      </c>
      <c r="O38" s="30"/>
      <c r="P38" s="30"/>
      <c r="Q38" s="30"/>
      <c r="R38" s="30"/>
      <c r="S38" s="30">
        <v>1.7</v>
      </c>
      <c r="T38" s="30">
        <v>10.5</v>
      </c>
      <c r="U38" s="30"/>
      <c r="V38" s="30"/>
      <c r="W38">
        <v>8.5</v>
      </c>
      <c r="X38">
        <v>0.4</v>
      </c>
      <c r="Y38">
        <v>0.96599999999999997</v>
      </c>
      <c r="Z38">
        <v>60</v>
      </c>
    </row>
    <row r="39" spans="10:26" x14ac:dyDescent="0.3">
      <c r="J39" s="30">
        <v>5</v>
      </c>
      <c r="K39" s="30">
        <v>621.89499999999998</v>
      </c>
      <c r="L39" s="30">
        <v>25.24</v>
      </c>
      <c r="M39" s="30">
        <v>0.80230000000000001</v>
      </c>
      <c r="N39" s="30">
        <v>4.9000000000000004</v>
      </c>
      <c r="O39" s="30"/>
      <c r="P39" s="30"/>
      <c r="Q39" s="30"/>
      <c r="R39" s="30"/>
      <c r="S39" s="30">
        <v>1.7</v>
      </c>
      <c r="T39" s="30">
        <v>10.6</v>
      </c>
      <c r="U39" s="30"/>
      <c r="V39" s="30"/>
      <c r="W39">
        <v>8.4</v>
      </c>
      <c r="X39">
        <v>0.5</v>
      </c>
      <c r="Y39">
        <v>0.95799999999999996</v>
      </c>
      <c r="Z39">
        <v>60</v>
      </c>
    </row>
    <row r="40" spans="10:26" x14ac:dyDescent="0.3">
      <c r="J40" s="30">
        <v>6</v>
      </c>
      <c r="K40" s="30">
        <v>621.96799999999996</v>
      </c>
      <c r="L40" s="30">
        <v>25.28</v>
      </c>
      <c r="M40" s="30">
        <v>0.80230000000000001</v>
      </c>
      <c r="N40" s="30">
        <v>4.9000000000000004</v>
      </c>
      <c r="O40" s="30"/>
      <c r="P40" s="30"/>
      <c r="Q40" s="30"/>
      <c r="R40" s="30"/>
      <c r="S40" s="30">
        <v>1.8</v>
      </c>
      <c r="T40" s="30">
        <v>10.6</v>
      </c>
      <c r="U40" s="30"/>
      <c r="V40" s="30"/>
      <c r="W40">
        <v>8.5</v>
      </c>
      <c r="X40">
        <v>0.4</v>
      </c>
      <c r="Y40">
        <v>0.97299999999999998</v>
      </c>
      <c r="Z40">
        <v>60</v>
      </c>
    </row>
    <row r="41" spans="10:26" x14ac:dyDescent="0.3">
      <c r="J41" s="30">
        <v>7</v>
      </c>
      <c r="K41" s="30">
        <v>622.02800000000002</v>
      </c>
      <c r="L41" s="30">
        <v>25.68</v>
      </c>
      <c r="M41" s="30">
        <v>0.80230000000000001</v>
      </c>
      <c r="N41" s="30">
        <v>4.8899999999999997</v>
      </c>
      <c r="O41" s="30"/>
      <c r="P41" s="30"/>
      <c r="Q41" s="30"/>
      <c r="R41" s="30"/>
      <c r="S41" s="30">
        <v>1.7</v>
      </c>
      <c r="T41" s="30">
        <v>10.5</v>
      </c>
      <c r="U41" s="30"/>
      <c r="V41" s="30"/>
      <c r="W41">
        <v>8.5</v>
      </c>
      <c r="X41">
        <v>0.5</v>
      </c>
      <c r="Y41">
        <v>0.96899999999999997</v>
      </c>
      <c r="Z41">
        <v>60</v>
      </c>
    </row>
    <row r="42" spans="10:26" x14ac:dyDescent="0.3">
      <c r="J42" s="30">
        <v>8</v>
      </c>
      <c r="K42" s="30">
        <v>622.05499999999995</v>
      </c>
      <c r="L42" s="30">
        <v>26.47</v>
      </c>
      <c r="M42" s="30">
        <v>0.80230000000000001</v>
      </c>
      <c r="N42" s="30">
        <v>4.88</v>
      </c>
      <c r="O42" s="30"/>
      <c r="P42" s="30"/>
      <c r="Q42" s="30"/>
      <c r="R42" s="30"/>
      <c r="S42" s="30">
        <v>1.7</v>
      </c>
      <c r="T42" s="30">
        <v>10.5</v>
      </c>
      <c r="U42" s="30"/>
      <c r="V42" s="30"/>
      <c r="W42">
        <v>8.4</v>
      </c>
      <c r="X42">
        <v>0.4</v>
      </c>
      <c r="Y42">
        <v>0.95699999999999996</v>
      </c>
      <c r="Z42">
        <v>60</v>
      </c>
    </row>
    <row r="43" spans="10:26" x14ac:dyDescent="0.3">
      <c r="J43" s="30">
        <v>9</v>
      </c>
      <c r="K43" s="30">
        <v>622.01700000000005</v>
      </c>
      <c r="L43" s="30">
        <v>27.23</v>
      </c>
      <c r="M43" s="30">
        <v>0.80230000000000001</v>
      </c>
      <c r="N43" s="30">
        <v>4.87</v>
      </c>
      <c r="O43" s="30"/>
      <c r="P43" s="30"/>
      <c r="Q43" s="30"/>
      <c r="R43" s="30"/>
      <c r="S43" s="30">
        <v>1.8</v>
      </c>
      <c r="T43" s="30">
        <v>10.6</v>
      </c>
      <c r="U43" s="30"/>
      <c r="V43" s="30"/>
      <c r="W43">
        <v>8.5</v>
      </c>
      <c r="X43">
        <v>0.5</v>
      </c>
      <c r="Y43">
        <v>0.96399999999999997</v>
      </c>
      <c r="Z43">
        <v>60</v>
      </c>
    </row>
    <row r="44" spans="10:26" x14ac:dyDescent="0.3">
      <c r="J44" s="30">
        <v>10</v>
      </c>
      <c r="K44" s="30">
        <v>621.94000000000005</v>
      </c>
      <c r="L44" s="30">
        <v>27.97</v>
      </c>
      <c r="M44" s="30">
        <v>0.80230000000000001</v>
      </c>
      <c r="N44" s="30">
        <v>4.8499999999999996</v>
      </c>
      <c r="O44" s="30"/>
      <c r="P44" s="30"/>
      <c r="Q44" s="30"/>
      <c r="R44" s="30"/>
      <c r="S44" s="30">
        <v>1.7</v>
      </c>
      <c r="T44" s="30">
        <v>10.7</v>
      </c>
      <c r="U44" s="30"/>
      <c r="V44" s="30"/>
      <c r="W44">
        <v>8.6</v>
      </c>
      <c r="X44">
        <v>0.4</v>
      </c>
      <c r="Y44">
        <v>1.0089999999999999</v>
      </c>
      <c r="Z44">
        <v>60</v>
      </c>
    </row>
    <row r="45" spans="10:26" x14ac:dyDescent="0.3">
      <c r="J45" s="30">
        <v>11</v>
      </c>
      <c r="K45" s="30">
        <v>621.97799999999995</v>
      </c>
      <c r="L45" s="30">
        <v>29.95</v>
      </c>
      <c r="M45" s="30">
        <v>0.80230000000000001</v>
      </c>
      <c r="N45" s="30">
        <v>4.82</v>
      </c>
      <c r="O45" s="30"/>
      <c r="P45" s="30"/>
      <c r="Q45" s="30"/>
      <c r="R45" s="30"/>
      <c r="S45" s="30">
        <v>1.8</v>
      </c>
      <c r="T45" s="30">
        <v>10.8</v>
      </c>
      <c r="U45" s="30"/>
      <c r="V45" s="30"/>
      <c r="W45">
        <v>8.6999999999999993</v>
      </c>
      <c r="X45">
        <v>0.5</v>
      </c>
      <c r="Y45">
        <v>1.0209999999999999</v>
      </c>
      <c r="Z45">
        <v>60</v>
      </c>
    </row>
    <row r="46" spans="10:26" x14ac:dyDescent="0.3">
      <c r="J46" s="30">
        <v>12</v>
      </c>
      <c r="K46" s="30">
        <v>621.88300000000004</v>
      </c>
      <c r="L46" s="30">
        <v>32.840000000000003</v>
      </c>
      <c r="M46" s="30">
        <v>0.80230000000000001</v>
      </c>
      <c r="N46" s="30">
        <v>4.7699999999999996</v>
      </c>
      <c r="O46" s="30"/>
      <c r="P46" s="30"/>
      <c r="Q46" s="30"/>
      <c r="R46" s="30"/>
      <c r="S46" s="30">
        <v>1.8</v>
      </c>
      <c r="T46" s="30">
        <v>10.6</v>
      </c>
      <c r="U46" s="30"/>
      <c r="V46" s="30"/>
      <c r="W46">
        <v>8.4</v>
      </c>
      <c r="X46">
        <v>0.4</v>
      </c>
      <c r="Y46">
        <v>0.99299999999999999</v>
      </c>
      <c r="Z46">
        <v>60</v>
      </c>
    </row>
    <row r="47" spans="10:26" x14ac:dyDescent="0.3">
      <c r="J47" s="30">
        <v>13</v>
      </c>
      <c r="K47" s="30">
        <v>621.73800000000006</v>
      </c>
      <c r="L47" s="30">
        <v>33.79</v>
      </c>
      <c r="M47" s="30">
        <v>0.80230000000000001</v>
      </c>
      <c r="N47" s="30">
        <v>4.76</v>
      </c>
      <c r="O47" s="30"/>
      <c r="P47" s="30"/>
      <c r="Q47" s="30"/>
      <c r="R47" s="30"/>
      <c r="S47" s="30">
        <v>1.8</v>
      </c>
      <c r="T47" s="30">
        <v>10.6</v>
      </c>
      <c r="U47" s="30"/>
      <c r="V47" s="30"/>
      <c r="W47">
        <v>8.5</v>
      </c>
      <c r="X47">
        <v>0.4</v>
      </c>
      <c r="Y47">
        <v>0.998</v>
      </c>
      <c r="Z47">
        <v>60</v>
      </c>
    </row>
    <row r="48" spans="10:26" x14ac:dyDescent="0.3">
      <c r="J48" s="30">
        <v>14</v>
      </c>
      <c r="K48" s="30">
        <v>621.726</v>
      </c>
      <c r="L48" s="30">
        <v>34.950000000000003</v>
      </c>
      <c r="M48" s="30">
        <v>0.80230000000000001</v>
      </c>
      <c r="N48" s="30">
        <v>4.74</v>
      </c>
      <c r="O48" s="30"/>
      <c r="P48" s="30"/>
      <c r="Q48" s="30"/>
      <c r="R48" s="30"/>
      <c r="S48" s="30">
        <v>1.8</v>
      </c>
      <c r="T48" s="30">
        <v>10.6</v>
      </c>
      <c r="U48" s="30"/>
      <c r="V48" s="30"/>
      <c r="W48">
        <v>8.6</v>
      </c>
      <c r="X48">
        <v>0.5</v>
      </c>
      <c r="Y48">
        <v>1.0089999999999999</v>
      </c>
      <c r="Z48">
        <v>60</v>
      </c>
    </row>
    <row r="49" spans="10:26" x14ac:dyDescent="0.3">
      <c r="J49" s="30">
        <v>15</v>
      </c>
      <c r="K49" s="30">
        <v>621.66200000000003</v>
      </c>
      <c r="L49" s="30">
        <v>36.58</v>
      </c>
      <c r="M49" s="30">
        <v>0.80230000000000001</v>
      </c>
      <c r="N49" s="30">
        <v>4.71</v>
      </c>
      <c r="O49" s="30"/>
      <c r="P49" s="30"/>
      <c r="Q49" s="30"/>
      <c r="R49" s="30"/>
      <c r="S49" s="30">
        <v>1.8</v>
      </c>
      <c r="T49" s="30">
        <v>10.4</v>
      </c>
      <c r="U49" s="30"/>
      <c r="V49" s="30"/>
      <c r="W49">
        <v>8.4</v>
      </c>
      <c r="X49">
        <v>0.4</v>
      </c>
      <c r="Y49">
        <v>0.98499999999999999</v>
      </c>
      <c r="Z49">
        <v>60</v>
      </c>
    </row>
    <row r="50" spans="10:26" x14ac:dyDescent="0.3">
      <c r="J50" s="30">
        <v>16</v>
      </c>
      <c r="K50" s="30">
        <v>621.60299999999995</v>
      </c>
      <c r="L50" s="30">
        <v>37.32</v>
      </c>
      <c r="M50" s="30">
        <v>0.80230000000000001</v>
      </c>
      <c r="N50" s="30">
        <v>4.7</v>
      </c>
      <c r="O50" s="30"/>
      <c r="P50" s="30"/>
      <c r="Q50" s="30"/>
      <c r="R50" s="30"/>
      <c r="S50" s="30">
        <v>1.7</v>
      </c>
      <c r="T50" s="30">
        <v>10.3</v>
      </c>
      <c r="U50" s="30"/>
      <c r="V50" s="30"/>
      <c r="W50">
        <v>8.1</v>
      </c>
      <c r="X50">
        <v>0.5</v>
      </c>
      <c r="Y50">
        <v>0.93799999999999994</v>
      </c>
      <c r="Z50">
        <v>60</v>
      </c>
    </row>
    <row r="51" spans="10:26" x14ac:dyDescent="0.3">
      <c r="J51" s="30">
        <v>17</v>
      </c>
      <c r="K51" s="30">
        <v>621.49900000000002</v>
      </c>
      <c r="L51" s="30">
        <v>37.49</v>
      </c>
      <c r="M51" s="30">
        <v>0.80230000000000001</v>
      </c>
      <c r="N51" s="30">
        <v>4.6900000000000004</v>
      </c>
      <c r="O51" s="30"/>
      <c r="P51" s="30"/>
      <c r="Q51" s="30"/>
      <c r="R51" s="30"/>
      <c r="S51" s="30">
        <v>1.8</v>
      </c>
      <c r="T51" s="30">
        <v>10.199999999999999</v>
      </c>
      <c r="U51" s="30"/>
      <c r="V51" s="30"/>
      <c r="W51">
        <v>8.1999999999999993</v>
      </c>
      <c r="X51">
        <v>0.4</v>
      </c>
      <c r="Y51">
        <v>0.94199999999999995</v>
      </c>
      <c r="Z51">
        <v>60</v>
      </c>
    </row>
    <row r="52" spans="10:26" x14ac:dyDescent="0.3">
      <c r="J52" s="30">
        <v>18</v>
      </c>
      <c r="K52" s="30">
        <v>621.44200000000001</v>
      </c>
      <c r="L52" s="30">
        <v>36.979999999999997</v>
      </c>
      <c r="M52" s="30">
        <v>0.80230000000000001</v>
      </c>
      <c r="N52" s="30">
        <v>4.7</v>
      </c>
      <c r="O52" s="30"/>
      <c r="P52" s="30"/>
      <c r="Q52" s="30"/>
      <c r="R52" s="30"/>
      <c r="S52" s="30">
        <v>1.7</v>
      </c>
      <c r="T52" s="30">
        <v>10.199999999999999</v>
      </c>
      <c r="U52" s="30"/>
      <c r="V52" s="30"/>
      <c r="W52">
        <v>8.3000000000000007</v>
      </c>
      <c r="X52">
        <v>0.4</v>
      </c>
      <c r="Y52">
        <v>0.94799999999999995</v>
      </c>
      <c r="Z52">
        <v>60</v>
      </c>
    </row>
    <row r="53" spans="10:26" x14ac:dyDescent="0.3">
      <c r="J53" s="30">
        <v>19</v>
      </c>
      <c r="K53" s="30">
        <v>621.57100000000003</v>
      </c>
      <c r="L53" s="30">
        <v>34.369999999999997</v>
      </c>
      <c r="M53" s="30">
        <v>0.80230000000000001</v>
      </c>
      <c r="N53" s="30">
        <v>4.75</v>
      </c>
      <c r="O53" s="30"/>
      <c r="P53" s="30"/>
      <c r="Q53" s="30"/>
      <c r="R53" s="30"/>
      <c r="S53" s="30">
        <v>1.8</v>
      </c>
      <c r="T53" s="30">
        <v>10.5</v>
      </c>
      <c r="U53" s="30"/>
      <c r="V53" s="30"/>
      <c r="W53">
        <v>8.4</v>
      </c>
      <c r="X53">
        <v>0.5</v>
      </c>
      <c r="Y53">
        <v>0.97499999999999998</v>
      </c>
      <c r="Z53">
        <v>60</v>
      </c>
    </row>
    <row r="54" spans="10:26" x14ac:dyDescent="0.3">
      <c r="J54" s="30">
        <v>20</v>
      </c>
      <c r="K54" s="30">
        <v>621.62199999999996</v>
      </c>
      <c r="L54" s="30">
        <v>30.12</v>
      </c>
      <c r="M54" s="30">
        <v>0.80230000000000001</v>
      </c>
      <c r="N54" s="30">
        <v>4.82</v>
      </c>
      <c r="O54" s="30"/>
      <c r="P54" s="30"/>
      <c r="Q54" s="30"/>
      <c r="R54" s="30"/>
      <c r="S54" s="30">
        <v>1.8</v>
      </c>
      <c r="T54" s="30">
        <v>11</v>
      </c>
      <c r="U54" s="30"/>
      <c r="V54" s="30"/>
      <c r="W54">
        <v>8.8000000000000007</v>
      </c>
      <c r="X54">
        <v>0.4</v>
      </c>
      <c r="Y54">
        <v>1.0580000000000001</v>
      </c>
      <c r="Z54">
        <v>60</v>
      </c>
    </row>
    <row r="55" spans="10:26" x14ac:dyDescent="0.3">
      <c r="J55" s="30">
        <v>21</v>
      </c>
      <c r="K55" s="30">
        <v>621.72299999999996</v>
      </c>
      <c r="L55" s="30">
        <v>27.73</v>
      </c>
      <c r="M55" s="30">
        <v>0.80230000000000001</v>
      </c>
      <c r="N55" s="30">
        <v>4.8600000000000003</v>
      </c>
      <c r="O55" s="30"/>
      <c r="P55" s="30"/>
      <c r="Q55" s="30"/>
      <c r="R55" s="30"/>
      <c r="S55" s="30">
        <v>1.8</v>
      </c>
      <c r="T55" s="30">
        <v>10.7</v>
      </c>
      <c r="U55" s="30"/>
      <c r="V55" s="30"/>
      <c r="W55">
        <v>8.6</v>
      </c>
      <c r="X55">
        <v>0.5</v>
      </c>
      <c r="Y55">
        <v>1.016</v>
      </c>
      <c r="Z55">
        <v>60</v>
      </c>
    </row>
    <row r="56" spans="10:26" x14ac:dyDescent="0.3">
      <c r="J56" s="30">
        <v>22</v>
      </c>
      <c r="K56" s="30">
        <v>621.84199999999998</v>
      </c>
      <c r="L56" s="30">
        <v>26.57</v>
      </c>
      <c r="M56" s="30">
        <v>0.80230000000000001</v>
      </c>
      <c r="N56" s="30">
        <v>4.88</v>
      </c>
      <c r="O56" s="30"/>
      <c r="P56" s="30"/>
      <c r="Q56" s="30"/>
      <c r="R56" s="30"/>
      <c r="S56" s="30">
        <v>1.7</v>
      </c>
      <c r="T56" s="30">
        <v>10.6</v>
      </c>
      <c r="U56" s="30"/>
      <c r="V56" s="30"/>
      <c r="W56">
        <v>8.5</v>
      </c>
      <c r="X56">
        <v>0.4</v>
      </c>
      <c r="Y56">
        <v>0.97699999999999998</v>
      </c>
      <c r="Z56">
        <v>60</v>
      </c>
    </row>
    <row r="57" spans="10:26" x14ac:dyDescent="0.3">
      <c r="J57" s="30">
        <v>23</v>
      </c>
      <c r="K57" s="30">
        <v>621.87</v>
      </c>
      <c r="L57" s="30">
        <v>26.02</v>
      </c>
      <c r="M57" s="30">
        <v>0.80230000000000001</v>
      </c>
      <c r="N57" s="30">
        <v>4.8899999999999997</v>
      </c>
      <c r="O57" s="30"/>
      <c r="P57" s="30"/>
      <c r="Q57" s="30"/>
      <c r="R57" s="30"/>
      <c r="S57" s="30">
        <v>1.8</v>
      </c>
      <c r="T57" s="30">
        <v>10.7</v>
      </c>
      <c r="U57" s="30"/>
      <c r="V57" s="30"/>
      <c r="W57">
        <v>8.5</v>
      </c>
      <c r="X57">
        <v>0.5</v>
      </c>
      <c r="Y57">
        <v>0.97699999999999998</v>
      </c>
      <c r="Z57">
        <v>60</v>
      </c>
    </row>
    <row r="58" spans="10:26" x14ac:dyDescent="0.3">
      <c r="J58" s="30">
        <v>24</v>
      </c>
      <c r="K58" s="30">
        <v>621.82299999999998</v>
      </c>
      <c r="L58" s="30">
        <v>25.76</v>
      </c>
      <c r="M58" s="30">
        <v>0.80230000000000001</v>
      </c>
      <c r="N58" s="30">
        <v>4.8899999999999997</v>
      </c>
      <c r="O58" s="30"/>
      <c r="P58" s="30"/>
      <c r="Q58" s="30"/>
      <c r="R58" s="30"/>
      <c r="S58" s="30">
        <v>1.7</v>
      </c>
      <c r="T58" s="30">
        <v>10.6</v>
      </c>
      <c r="U58" s="30"/>
      <c r="V58" s="30"/>
      <c r="W58">
        <v>8.6</v>
      </c>
      <c r="X58">
        <v>0.4</v>
      </c>
      <c r="Y58">
        <v>0.97799999999999998</v>
      </c>
      <c r="Z58">
        <v>60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7E953-0099-444C-B745-F9B47A3C5A1E}">
  <sheetPr>
    <tabColor theme="6"/>
  </sheetPr>
  <dimension ref="A1:J104"/>
  <sheetViews>
    <sheetView showGridLines="0" zoomScale="70" zoomScaleNormal="70" workbookViewId="0">
      <pane ySplit="3" topLeftCell="A4" activePane="bottomLeft" state="frozen"/>
      <selection pane="bottomLeft" activeCell="S11" sqref="S11"/>
    </sheetView>
  </sheetViews>
  <sheetFormatPr defaultRowHeight="14.4" x14ac:dyDescent="0.3"/>
  <cols>
    <col min="1" max="1" width="41.33203125" customWidth="1"/>
    <col min="2" max="2" width="26" customWidth="1"/>
    <col min="3" max="3" width="24.5546875" customWidth="1"/>
    <col min="4" max="4" width="33.6640625" customWidth="1"/>
    <col min="5" max="5" width="14" customWidth="1"/>
    <col min="6" max="10" width="24" hidden="1" customWidth="1"/>
  </cols>
  <sheetData>
    <row r="1" spans="1:10" ht="54" customHeight="1" x14ac:dyDescent="0.3">
      <c r="A1" s="38"/>
      <c r="B1" s="159" t="s">
        <v>562</v>
      </c>
      <c r="C1" s="159"/>
      <c r="D1" s="159"/>
      <c r="E1" s="38"/>
      <c r="F1" s="38"/>
      <c r="G1" s="38"/>
      <c r="H1" s="38"/>
      <c r="I1" s="38"/>
      <c r="J1" s="38"/>
    </row>
    <row r="2" spans="1:10" ht="19.95" customHeight="1" x14ac:dyDescent="0.35">
      <c r="A2" s="144" t="s">
        <v>115</v>
      </c>
      <c r="B2" s="145"/>
      <c r="C2" s="145"/>
      <c r="D2" s="145"/>
      <c r="E2" s="145"/>
      <c r="F2" s="145"/>
      <c r="G2" s="145"/>
      <c r="H2" s="145"/>
      <c r="I2" s="145"/>
      <c r="J2" s="145"/>
    </row>
    <row r="4" spans="1:10" x14ac:dyDescent="0.3">
      <c r="A4" s="147" t="s">
        <v>116</v>
      </c>
      <c r="B4" s="148"/>
      <c r="C4" s="148"/>
      <c r="D4" s="148"/>
      <c r="E4" s="147"/>
      <c r="F4" s="148"/>
      <c r="G4" s="148"/>
      <c r="H4" s="148"/>
      <c r="I4" s="147"/>
      <c r="J4" s="148"/>
    </row>
    <row r="5" spans="1:10" ht="24" customHeight="1" x14ac:dyDescent="0.3">
      <c r="A5" s="39" t="s">
        <v>117</v>
      </c>
      <c r="B5" s="2"/>
    </row>
    <row r="6" spans="1:10" ht="24" customHeight="1" x14ac:dyDescent="0.3">
      <c r="A6" s="39" t="s">
        <v>118</v>
      </c>
      <c r="B6" s="3"/>
    </row>
    <row r="7" spans="1:10" ht="24" customHeight="1" x14ac:dyDescent="0.3">
      <c r="A7" s="39" t="s">
        <v>119</v>
      </c>
      <c r="B7" s="2"/>
    </row>
    <row r="8" spans="1:10" ht="29.4" customHeight="1" x14ac:dyDescent="0.3">
      <c r="A8" s="39" t="s">
        <v>120</v>
      </c>
      <c r="B8" s="2"/>
    </row>
    <row r="9" spans="1:10" ht="30" customHeight="1" x14ac:dyDescent="0.3">
      <c r="A9" s="39" t="s">
        <v>121</v>
      </c>
      <c r="B9" s="2"/>
    </row>
    <row r="10" spans="1:10" ht="33" customHeight="1" x14ac:dyDescent="0.3">
      <c r="A10" s="39" t="s">
        <v>122</v>
      </c>
      <c r="B10" s="2"/>
    </row>
    <row r="11" spans="1:10" ht="24" customHeight="1" x14ac:dyDescent="0.3">
      <c r="A11" s="54" t="s">
        <v>123</v>
      </c>
      <c r="B11" s="55"/>
      <c r="C11" s="16"/>
      <c r="D11" s="16"/>
      <c r="E11" s="16"/>
      <c r="F11" s="16"/>
      <c r="G11" s="16"/>
      <c r="H11" s="16"/>
      <c r="I11" s="16"/>
      <c r="J11" s="16"/>
    </row>
    <row r="12" spans="1:10" ht="24" customHeight="1" x14ac:dyDescent="0.3">
      <c r="A12" s="39" t="s">
        <v>124</v>
      </c>
      <c r="B12" s="156"/>
      <c r="C12" s="156"/>
      <c r="D12" s="156"/>
      <c r="E12" s="156"/>
      <c r="F12" s="156"/>
      <c r="G12" s="156"/>
      <c r="H12" s="156"/>
      <c r="I12" s="156"/>
      <c r="J12" s="157"/>
    </row>
    <row r="14" spans="1:10" ht="14.4" customHeight="1" x14ac:dyDescent="0.3">
      <c r="A14" s="154" t="s">
        <v>125</v>
      </c>
      <c r="B14" s="155"/>
      <c r="C14" s="155"/>
      <c r="D14" s="155"/>
      <c r="E14" s="147"/>
      <c r="F14" s="148"/>
      <c r="G14" s="148"/>
      <c r="H14" s="148"/>
      <c r="I14" s="147"/>
      <c r="J14" s="148"/>
    </row>
    <row r="15" spans="1:10" ht="18" customHeight="1" x14ac:dyDescent="0.3">
      <c r="A15" s="40" t="s">
        <v>126</v>
      </c>
      <c r="B15" s="40" t="s">
        <v>127</v>
      </c>
      <c r="C15" s="40" t="s">
        <v>128</v>
      </c>
      <c r="D15" s="40" t="s">
        <v>129</v>
      </c>
    </row>
    <row r="16" spans="1:10" x14ac:dyDescent="0.3">
      <c r="A16" s="7" t="s">
        <v>130</v>
      </c>
      <c r="B16" s="8" t="s">
        <v>131</v>
      </c>
      <c r="C16" s="9"/>
      <c r="D16" s="7" t="s">
        <v>132</v>
      </c>
    </row>
    <row r="17" spans="1:10" x14ac:dyDescent="0.3">
      <c r="A17" s="7" t="s">
        <v>133</v>
      </c>
      <c r="B17" s="8" t="s">
        <v>131</v>
      </c>
      <c r="C17" s="9"/>
      <c r="D17" s="7" t="s">
        <v>132</v>
      </c>
    </row>
    <row r="18" spans="1:10" ht="14.4" customHeight="1" x14ac:dyDescent="0.3">
      <c r="A18" s="7" t="s">
        <v>134</v>
      </c>
      <c r="B18" s="8" t="s">
        <v>131</v>
      </c>
      <c r="C18" s="9"/>
      <c r="D18" s="7" t="s">
        <v>132</v>
      </c>
    </row>
    <row r="19" spans="1:10" x14ac:dyDescent="0.3">
      <c r="A19" s="7" t="s">
        <v>135</v>
      </c>
      <c r="B19" s="8" t="s">
        <v>136</v>
      </c>
      <c r="C19" s="50"/>
      <c r="D19" s="7" t="s">
        <v>137</v>
      </c>
    </row>
    <row r="20" spans="1:10" x14ac:dyDescent="0.3">
      <c r="A20" s="7" t="s">
        <v>138</v>
      </c>
      <c r="B20" s="8" t="s">
        <v>139</v>
      </c>
      <c r="C20" s="9"/>
      <c r="D20" s="7" t="s">
        <v>140</v>
      </c>
    </row>
    <row r="21" spans="1:10" x14ac:dyDescent="0.3">
      <c r="A21" s="7" t="s">
        <v>141</v>
      </c>
      <c r="B21" s="8" t="s">
        <v>131</v>
      </c>
      <c r="C21" s="9"/>
      <c r="D21" s="7" t="s">
        <v>140</v>
      </c>
    </row>
    <row r="22" spans="1:10" ht="14.4" customHeight="1" x14ac:dyDescent="0.3">
      <c r="A22" s="7" t="s">
        <v>142</v>
      </c>
      <c r="B22" s="8" t="s">
        <v>143</v>
      </c>
      <c r="C22" s="9"/>
      <c r="D22" s="7" t="s">
        <v>140</v>
      </c>
    </row>
    <row r="23" spans="1:10" ht="43.2" hidden="1" customHeight="1" x14ac:dyDescent="0.3"/>
    <row r="25" spans="1:10" ht="14.4" customHeight="1" x14ac:dyDescent="0.3">
      <c r="A25" s="154" t="s">
        <v>144</v>
      </c>
      <c r="B25" s="155"/>
      <c r="C25" s="155"/>
      <c r="D25" s="155"/>
      <c r="E25" s="147"/>
      <c r="F25" s="148"/>
      <c r="G25" s="148"/>
      <c r="H25" s="148"/>
      <c r="I25" s="147"/>
      <c r="J25" s="148"/>
    </row>
    <row r="26" spans="1:10" ht="18" customHeight="1" x14ac:dyDescent="0.3">
      <c r="A26" s="40" t="s">
        <v>145</v>
      </c>
      <c r="B26" s="40" t="s">
        <v>146</v>
      </c>
      <c r="C26" s="40" t="s">
        <v>147</v>
      </c>
      <c r="D26" s="40" t="s">
        <v>148</v>
      </c>
    </row>
    <row r="27" spans="1:10" ht="14.4" customHeight="1" x14ac:dyDescent="0.3">
      <c r="A27" s="7" t="s">
        <v>80</v>
      </c>
      <c r="B27" s="47"/>
      <c r="C27" s="86"/>
      <c r="D27" s="47"/>
    </row>
    <row r="28" spans="1:10" x14ac:dyDescent="0.3">
      <c r="A28" s="7" t="s">
        <v>81</v>
      </c>
      <c r="B28" s="47"/>
      <c r="C28" s="86"/>
      <c r="D28" s="47"/>
    </row>
    <row r="29" spans="1:10" x14ac:dyDescent="0.3">
      <c r="A29" s="7" t="s">
        <v>85</v>
      </c>
      <c r="B29" s="47"/>
      <c r="C29" s="86"/>
      <c r="D29" s="47"/>
    </row>
    <row r="30" spans="1:10" x14ac:dyDescent="0.3">
      <c r="A30" s="7" t="s">
        <v>88</v>
      </c>
      <c r="B30" s="47"/>
      <c r="C30" s="86"/>
      <c r="D30" s="47"/>
    </row>
    <row r="31" spans="1:10" ht="14.4" customHeight="1" x14ac:dyDescent="0.3">
      <c r="A31" s="7" t="s">
        <v>91</v>
      </c>
      <c r="B31" s="47"/>
      <c r="C31" s="86"/>
      <c r="D31" s="47"/>
    </row>
    <row r="32" spans="1:10" x14ac:dyDescent="0.3">
      <c r="A32" s="7" t="s">
        <v>149</v>
      </c>
      <c r="B32" s="47"/>
      <c r="C32" s="86"/>
      <c r="D32" s="47"/>
    </row>
    <row r="33" spans="1:4" x14ac:dyDescent="0.3">
      <c r="A33" s="7" t="s">
        <v>150</v>
      </c>
      <c r="B33" s="47"/>
      <c r="C33" s="86"/>
      <c r="D33" s="47"/>
    </row>
    <row r="34" spans="1:4" x14ac:dyDescent="0.3">
      <c r="A34" s="7" t="s">
        <v>151</v>
      </c>
      <c r="B34" s="47"/>
      <c r="C34" s="86"/>
      <c r="D34" s="47"/>
    </row>
    <row r="35" spans="1:4" ht="14.4" customHeight="1" x14ac:dyDescent="0.3">
      <c r="A35" s="7" t="s">
        <v>152</v>
      </c>
      <c r="B35" s="47"/>
      <c r="C35" s="86"/>
      <c r="D35" s="47"/>
    </row>
    <row r="36" spans="1:4" x14ac:dyDescent="0.3">
      <c r="A36" s="7" t="s">
        <v>98</v>
      </c>
      <c r="B36" s="47"/>
      <c r="C36" s="86"/>
      <c r="D36" s="47"/>
    </row>
    <row r="37" spans="1:4" x14ac:dyDescent="0.3">
      <c r="A37" s="7" t="s">
        <v>101</v>
      </c>
      <c r="B37" s="47"/>
      <c r="C37" s="86"/>
      <c r="D37" s="47"/>
    </row>
    <row r="38" spans="1:4" ht="14.4" customHeight="1" x14ac:dyDescent="0.3">
      <c r="A38" s="7" t="s">
        <v>104</v>
      </c>
      <c r="B38" s="47"/>
      <c r="C38" s="86"/>
      <c r="D38" s="47"/>
    </row>
    <row r="39" spans="1:4" x14ac:dyDescent="0.3">
      <c r="A39" s="10" t="s">
        <v>106</v>
      </c>
      <c r="B39" s="47"/>
      <c r="C39" s="86"/>
      <c r="D39" s="47"/>
    </row>
    <row r="40" spans="1:4" x14ac:dyDescent="0.3">
      <c r="A40" s="10" t="s">
        <v>109</v>
      </c>
      <c r="B40" s="47"/>
      <c r="C40" s="86"/>
      <c r="D40" s="47"/>
    </row>
    <row r="41" spans="1:4" x14ac:dyDescent="0.3">
      <c r="A41" s="10" t="s">
        <v>153</v>
      </c>
      <c r="B41" s="47"/>
      <c r="C41" s="86"/>
      <c r="D41" s="47"/>
    </row>
    <row r="42" spans="1:4" x14ac:dyDescent="0.3">
      <c r="A42" s="10" t="s">
        <v>154</v>
      </c>
      <c r="B42" s="47"/>
      <c r="C42" s="86"/>
      <c r="D42" s="47"/>
    </row>
    <row r="43" spans="1:4" ht="19.95" customHeight="1" x14ac:dyDescent="0.3">
      <c r="A43" s="10" t="s">
        <v>155</v>
      </c>
      <c r="B43" s="47"/>
      <c r="C43" s="86"/>
      <c r="D43" s="47"/>
    </row>
    <row r="44" spans="1:4" x14ac:dyDescent="0.3">
      <c r="A44" s="10" t="s">
        <v>156</v>
      </c>
      <c r="B44" s="47"/>
      <c r="C44" s="86"/>
      <c r="D44" s="47"/>
    </row>
    <row r="45" spans="1:4" x14ac:dyDescent="0.3">
      <c r="A45" s="10" t="s">
        <v>157</v>
      </c>
      <c r="B45" s="47"/>
      <c r="C45" s="86"/>
      <c r="D45" s="47"/>
    </row>
    <row r="46" spans="1:4" x14ac:dyDescent="0.3">
      <c r="A46" s="10" t="s">
        <v>158</v>
      </c>
      <c r="B46" s="47"/>
      <c r="C46" s="86"/>
      <c r="D46" s="47"/>
    </row>
    <row r="47" spans="1:4" x14ac:dyDescent="0.3">
      <c r="A47" s="10" t="s">
        <v>159</v>
      </c>
      <c r="B47" s="47"/>
      <c r="C47" s="88"/>
      <c r="D47" s="47"/>
    </row>
    <row r="48" spans="1:4" x14ac:dyDescent="0.3">
      <c r="A48" s="7" t="s">
        <v>160</v>
      </c>
      <c r="B48" s="13"/>
      <c r="C48" s="88"/>
      <c r="D48" s="12"/>
    </row>
    <row r="49" spans="1:10" x14ac:dyDescent="0.3">
      <c r="A49" s="7" t="s">
        <v>161</v>
      </c>
      <c r="B49" s="13"/>
      <c r="C49" s="88"/>
      <c r="D49" s="12"/>
    </row>
    <row r="50" spans="1:10" x14ac:dyDescent="0.3">
      <c r="A50" s="7" t="s">
        <v>162</v>
      </c>
      <c r="B50" s="13"/>
      <c r="C50" s="88"/>
      <c r="D50" s="12"/>
    </row>
    <row r="51" spans="1:10" x14ac:dyDescent="0.3">
      <c r="A51" s="115" t="s">
        <v>163</v>
      </c>
      <c r="B51" s="113" t="s">
        <v>163</v>
      </c>
      <c r="C51" s="114">
        <f>SUM($C$27:$C$40)</f>
        <v>0</v>
      </c>
      <c r="D51" s="114">
        <f>SUM($C$27:$C$40)</f>
        <v>0</v>
      </c>
    </row>
    <row r="53" spans="1:10" ht="14.4" customHeight="1" x14ac:dyDescent="0.3">
      <c r="A53" s="147" t="s">
        <v>164</v>
      </c>
      <c r="B53" s="148"/>
      <c r="C53" s="148"/>
      <c r="D53" s="148"/>
      <c r="E53" s="147"/>
      <c r="F53" s="148"/>
      <c r="G53" s="148"/>
      <c r="H53" s="148"/>
      <c r="I53" s="147"/>
      <c r="J53" s="148"/>
    </row>
    <row r="54" spans="1:10" ht="18" customHeight="1" x14ac:dyDescent="0.3">
      <c r="A54" s="40" t="s">
        <v>165</v>
      </c>
      <c r="B54" s="40" t="s">
        <v>128</v>
      </c>
      <c r="C54" s="40" t="s">
        <v>166</v>
      </c>
    </row>
    <row r="55" spans="1:10" x14ac:dyDescent="0.3">
      <c r="A55" s="7" t="s">
        <v>167</v>
      </c>
      <c r="B55" s="11"/>
      <c r="C55" s="7" t="s">
        <v>168</v>
      </c>
    </row>
    <row r="56" spans="1:10" ht="28.8" x14ac:dyDescent="0.3">
      <c r="A56" s="7" t="s">
        <v>169</v>
      </c>
      <c r="B56" s="11"/>
      <c r="C56" s="7" t="s">
        <v>170</v>
      </c>
    </row>
    <row r="57" spans="1:10" hidden="1" x14ac:dyDescent="0.3"/>
    <row r="59" spans="1:10" ht="14.4" customHeight="1" x14ac:dyDescent="0.3">
      <c r="A59" s="147" t="s">
        <v>171</v>
      </c>
      <c r="B59" s="148"/>
      <c r="C59" s="148"/>
      <c r="D59" s="148"/>
      <c r="E59" s="147"/>
      <c r="F59" s="148"/>
      <c r="G59" s="148"/>
      <c r="H59" s="148"/>
      <c r="I59" s="147"/>
      <c r="J59" s="148"/>
    </row>
    <row r="60" spans="1:10" ht="18" customHeight="1" x14ac:dyDescent="0.3">
      <c r="A60" s="40" t="s">
        <v>172</v>
      </c>
      <c r="B60" s="40" t="s">
        <v>173</v>
      </c>
    </row>
    <row r="61" spans="1:10" ht="31.95" customHeight="1" x14ac:dyDescent="0.3">
      <c r="A61" s="7" t="s">
        <v>174</v>
      </c>
      <c r="B61" s="2"/>
    </row>
    <row r="62" spans="1:10" ht="31.95" customHeight="1" x14ac:dyDescent="0.3">
      <c r="A62" s="7" t="s">
        <v>175</v>
      </c>
      <c r="B62" s="2"/>
    </row>
    <row r="63" spans="1:10" ht="31.95" customHeight="1" x14ac:dyDescent="0.3">
      <c r="A63" s="7" t="s">
        <v>176</v>
      </c>
      <c r="B63" s="13"/>
    </row>
    <row r="64" spans="1:10" ht="31.95" customHeight="1" x14ac:dyDescent="0.3">
      <c r="A64" s="7" t="s">
        <v>177</v>
      </c>
      <c r="B64" s="13"/>
    </row>
    <row r="65" spans="1:2" ht="30" customHeight="1" x14ac:dyDescent="0.3">
      <c r="A65" s="7" t="s">
        <v>178</v>
      </c>
      <c r="B65" s="2"/>
    </row>
    <row r="79" spans="1:2" x14ac:dyDescent="0.3">
      <c r="A79" s="112"/>
    </row>
    <row r="80" spans="1:2" x14ac:dyDescent="0.3">
      <c r="A80" s="112"/>
    </row>
    <row r="81" spans="1:1" x14ac:dyDescent="0.3">
      <c r="A81" s="112"/>
    </row>
    <row r="82" spans="1:1" x14ac:dyDescent="0.3">
      <c r="A82" s="112"/>
    </row>
    <row r="83" spans="1:1" x14ac:dyDescent="0.3">
      <c r="A83" s="112"/>
    </row>
    <row r="84" spans="1:1" x14ac:dyDescent="0.3">
      <c r="A84" s="112"/>
    </row>
    <row r="85" spans="1:1" x14ac:dyDescent="0.3">
      <c r="A85" s="112"/>
    </row>
    <row r="86" spans="1:1" x14ac:dyDescent="0.3">
      <c r="A86" s="112"/>
    </row>
    <row r="87" spans="1:1" x14ac:dyDescent="0.3">
      <c r="A87" s="112"/>
    </row>
    <row r="88" spans="1:1" x14ac:dyDescent="0.3">
      <c r="A88" s="112"/>
    </row>
    <row r="89" spans="1:1" x14ac:dyDescent="0.3">
      <c r="A89" s="112"/>
    </row>
    <row r="90" spans="1:1" x14ac:dyDescent="0.3">
      <c r="A90" s="112"/>
    </row>
    <row r="91" spans="1:1" x14ac:dyDescent="0.3">
      <c r="A91" s="112"/>
    </row>
    <row r="92" spans="1:1" x14ac:dyDescent="0.3">
      <c r="A92" s="112"/>
    </row>
    <row r="93" spans="1:1" x14ac:dyDescent="0.3">
      <c r="A93" s="112"/>
    </row>
    <row r="96" spans="1:1" x14ac:dyDescent="0.3">
      <c r="A96" s="112"/>
    </row>
    <row r="97" spans="1:1" x14ac:dyDescent="0.3">
      <c r="A97" s="112" t="s">
        <v>155</v>
      </c>
    </row>
    <row r="98" spans="1:1" x14ac:dyDescent="0.3">
      <c r="A98" s="112" t="s">
        <v>156</v>
      </c>
    </row>
    <row r="99" spans="1:1" x14ac:dyDescent="0.3">
      <c r="A99" s="112" t="s">
        <v>157</v>
      </c>
    </row>
    <row r="100" spans="1:1" x14ac:dyDescent="0.3">
      <c r="A100" s="112" t="s">
        <v>158</v>
      </c>
    </row>
    <row r="101" spans="1:1" x14ac:dyDescent="0.3">
      <c r="A101" s="112" t="s">
        <v>159</v>
      </c>
    </row>
    <row r="102" spans="1:1" x14ac:dyDescent="0.3">
      <c r="A102" s="112" t="s">
        <v>160</v>
      </c>
    </row>
    <row r="103" spans="1:1" x14ac:dyDescent="0.3">
      <c r="A103" s="112" t="s">
        <v>161</v>
      </c>
    </row>
    <row r="104" spans="1:1" x14ac:dyDescent="0.3">
      <c r="A104" s="112" t="s">
        <v>162</v>
      </c>
    </row>
  </sheetData>
  <mergeCells count="18">
    <mergeCell ref="A53:D53"/>
    <mergeCell ref="E53:H53"/>
    <mergeCell ref="I53:J53"/>
    <mergeCell ref="A59:D59"/>
    <mergeCell ref="E59:H59"/>
    <mergeCell ref="I59:J59"/>
    <mergeCell ref="A25:D25"/>
    <mergeCell ref="E25:H25"/>
    <mergeCell ref="I25:J25"/>
    <mergeCell ref="B1:D1"/>
    <mergeCell ref="A2:J2"/>
    <mergeCell ref="B12:J12"/>
    <mergeCell ref="A4:D4"/>
    <mergeCell ref="E4:H4"/>
    <mergeCell ref="I4:J4"/>
    <mergeCell ref="A14:D14"/>
    <mergeCell ref="E14:H14"/>
    <mergeCell ref="I14:J14"/>
  </mergeCells>
  <conditionalFormatting sqref="C51:D51">
    <cfRule type="expression" dxfId="11" priority="1">
      <formula>AND(ABS(C51-100)&gt;0.5,C51&lt;&gt;"")</formula>
    </cfRule>
  </conditionalFormatting>
  <dataValidations count="3">
    <dataValidation type="list" allowBlank="1" sqref="B9:B10" xr:uid="{FC7CAAAF-DD7A-46BF-83AC-1706DD6D00EE}">
      <formula1>"Aprovado,Pendente,Rejeitado"</formula1>
    </dataValidation>
    <dataValidation type="list" allowBlank="1" sqref="B61:B62" xr:uid="{F4FD0247-469E-4B9D-B943-23F221CCE9CE}">
      <formula1>"OK,Pendente,Fora"</formula1>
    </dataValidation>
    <dataValidation type="list" allowBlank="1" sqref="B65" xr:uid="{6FDF1951-66BA-421C-B229-200717766438}">
      <formula1>"Sim,Não"</formula1>
    </dataValidation>
  </dataValidations>
  <pageMargins left="0.75" right="0.75" top="1" bottom="1" header="0.5" footer="0.5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6"/>
  </sheetPr>
  <dimension ref="A1:J67"/>
  <sheetViews>
    <sheetView showGridLines="0" view="pageBreakPreview" zoomScale="90" zoomScaleNormal="110" zoomScaleSheetLayoutView="90" workbookViewId="0">
      <pane ySplit="3" topLeftCell="A4" activePane="bottomLeft" state="frozen"/>
      <selection pane="bottomLeft" activeCell="E7" sqref="E7"/>
    </sheetView>
  </sheetViews>
  <sheetFormatPr defaultRowHeight="14.4" x14ac:dyDescent="0.3"/>
  <cols>
    <col min="1" max="1" width="45.44140625" customWidth="1"/>
    <col min="2" max="2" width="26" customWidth="1"/>
    <col min="3" max="3" width="27.33203125" customWidth="1"/>
    <col min="4" max="4" width="30.5546875" customWidth="1"/>
    <col min="5" max="6" width="24" customWidth="1"/>
    <col min="7" max="10" width="24" hidden="1" customWidth="1"/>
    <col min="12" max="12" width="8.88671875" customWidth="1"/>
  </cols>
  <sheetData>
    <row r="1" spans="1:10" ht="54" customHeight="1" x14ac:dyDescent="0.3">
      <c r="A1" s="38"/>
      <c r="B1" s="152" t="s">
        <v>562</v>
      </c>
      <c r="C1" s="152"/>
      <c r="D1" s="152"/>
      <c r="E1" s="38"/>
      <c r="F1" s="38"/>
      <c r="G1" s="38"/>
      <c r="H1" s="38"/>
      <c r="I1" s="38"/>
      <c r="J1" s="38"/>
    </row>
    <row r="2" spans="1:10" ht="19.95" customHeight="1" x14ac:dyDescent="0.35">
      <c r="A2" s="144" t="s">
        <v>179</v>
      </c>
      <c r="B2" s="145"/>
      <c r="C2" s="145"/>
      <c r="D2" s="145"/>
      <c r="E2" s="145"/>
      <c r="F2" s="145"/>
      <c r="G2" s="145"/>
      <c r="H2" s="145"/>
      <c r="I2" s="145"/>
      <c r="J2" s="145"/>
    </row>
    <row r="4" spans="1:10" x14ac:dyDescent="0.3">
      <c r="A4" s="147" t="s">
        <v>180</v>
      </c>
      <c r="B4" s="148"/>
      <c r="C4" s="148"/>
      <c r="D4" s="148"/>
      <c r="E4" s="147"/>
      <c r="F4" s="148"/>
      <c r="G4" s="148"/>
      <c r="H4" s="148"/>
      <c r="I4" s="147"/>
      <c r="J4" s="148"/>
    </row>
    <row r="5" spans="1:10" ht="16.95" customHeight="1" x14ac:dyDescent="0.3">
      <c r="A5" s="39" t="s">
        <v>117</v>
      </c>
      <c r="B5" s="2"/>
    </row>
    <row r="6" spans="1:10" ht="16.95" customHeight="1" x14ac:dyDescent="0.3">
      <c r="A6" s="39" t="s">
        <v>118</v>
      </c>
      <c r="B6" s="3"/>
    </row>
    <row r="7" spans="1:10" ht="16.95" customHeight="1" x14ac:dyDescent="0.3">
      <c r="A7" s="39" t="s">
        <v>119</v>
      </c>
      <c r="B7" s="2"/>
    </row>
    <row r="8" spans="1:10" ht="16.95" customHeight="1" x14ac:dyDescent="0.3">
      <c r="A8" s="39" t="s">
        <v>120</v>
      </c>
      <c r="B8" s="42"/>
    </row>
    <row r="9" spans="1:10" ht="16.95" customHeight="1" x14ac:dyDescent="0.3">
      <c r="A9" s="39" t="s">
        <v>121</v>
      </c>
      <c r="B9" s="42"/>
    </row>
    <row r="10" spans="1:10" ht="30.6" customHeight="1" x14ac:dyDescent="0.3">
      <c r="A10" s="39" t="s">
        <v>122</v>
      </c>
      <c r="B10" s="2"/>
    </row>
    <row r="11" spans="1:10" ht="16.95" customHeight="1" x14ac:dyDescent="0.3">
      <c r="A11" s="39" t="s">
        <v>123</v>
      </c>
      <c r="B11" s="3"/>
    </row>
    <row r="12" spans="1:10" ht="16.95" customHeight="1" x14ac:dyDescent="0.3">
      <c r="A12" s="39" t="s">
        <v>124</v>
      </c>
      <c r="B12" s="156"/>
      <c r="C12" s="156"/>
      <c r="D12" s="156"/>
      <c r="E12" s="156"/>
      <c r="F12" s="156"/>
      <c r="G12" s="156"/>
      <c r="H12" s="156"/>
      <c r="I12" s="156"/>
      <c r="J12" s="157"/>
    </row>
    <row r="14" spans="1:10" ht="14.4" customHeight="1" x14ac:dyDescent="0.3">
      <c r="A14" s="147" t="s">
        <v>125</v>
      </c>
      <c r="B14" s="148"/>
      <c r="C14" s="148"/>
      <c r="D14" s="148"/>
      <c r="E14" s="147"/>
      <c r="F14" s="148"/>
      <c r="G14" s="148"/>
      <c r="H14" s="148"/>
      <c r="I14" s="147"/>
      <c r="J14" s="148"/>
    </row>
    <row r="15" spans="1:10" ht="18" customHeight="1" x14ac:dyDescent="0.3">
      <c r="A15" s="40" t="s">
        <v>126</v>
      </c>
      <c r="B15" s="40" t="s">
        <v>127</v>
      </c>
      <c r="C15" s="40" t="s">
        <v>128</v>
      </c>
      <c r="D15" s="40" t="s">
        <v>129</v>
      </c>
    </row>
    <row r="16" spans="1:10" x14ac:dyDescent="0.3">
      <c r="A16" s="7" t="s">
        <v>130</v>
      </c>
      <c r="B16" s="8" t="s">
        <v>131</v>
      </c>
      <c r="C16" s="50"/>
      <c r="D16" s="7" t="s">
        <v>132</v>
      </c>
    </row>
    <row r="17" spans="1:10" x14ac:dyDescent="0.3">
      <c r="A17" s="7" t="s">
        <v>133</v>
      </c>
      <c r="B17" s="8" t="s">
        <v>131</v>
      </c>
      <c r="C17" s="50"/>
      <c r="D17" s="7" t="s">
        <v>132</v>
      </c>
    </row>
    <row r="18" spans="1:10" x14ac:dyDescent="0.3">
      <c r="A18" s="7" t="s">
        <v>134</v>
      </c>
      <c r="B18" s="8" t="s">
        <v>131</v>
      </c>
      <c r="C18" s="50"/>
      <c r="D18" s="7" t="s">
        <v>132</v>
      </c>
    </row>
    <row r="19" spans="1:10" x14ac:dyDescent="0.3">
      <c r="A19" s="7" t="s">
        <v>135</v>
      </c>
      <c r="B19" s="8" t="s">
        <v>136</v>
      </c>
      <c r="D19" s="7" t="s">
        <v>137</v>
      </c>
    </row>
    <row r="20" spans="1:10" x14ac:dyDescent="0.3">
      <c r="A20" s="7" t="s">
        <v>138</v>
      </c>
      <c r="B20" s="8" t="s">
        <v>139</v>
      </c>
      <c r="C20" s="50"/>
      <c r="D20" s="7" t="s">
        <v>140</v>
      </c>
    </row>
    <row r="21" spans="1:10" x14ac:dyDescent="0.3">
      <c r="A21" s="7" t="s">
        <v>141</v>
      </c>
      <c r="B21" s="8" t="s">
        <v>131</v>
      </c>
      <c r="C21" s="50"/>
      <c r="D21" s="7" t="s">
        <v>140</v>
      </c>
    </row>
    <row r="22" spans="1:10" x14ac:dyDescent="0.3">
      <c r="A22" s="48" t="s">
        <v>142</v>
      </c>
      <c r="B22" s="49" t="s">
        <v>143</v>
      </c>
      <c r="C22" s="51"/>
      <c r="D22" s="48" t="s">
        <v>140</v>
      </c>
    </row>
    <row r="23" spans="1:10" x14ac:dyDescent="0.3">
      <c r="A23" s="10" t="s">
        <v>181</v>
      </c>
      <c r="B23" s="47" t="s">
        <v>163</v>
      </c>
      <c r="C23" s="47"/>
      <c r="D23" s="10" t="s">
        <v>137</v>
      </c>
    </row>
    <row r="25" spans="1:10" ht="14.4" customHeight="1" x14ac:dyDescent="0.3">
      <c r="A25" s="147" t="s">
        <v>144</v>
      </c>
      <c r="B25" s="148"/>
      <c r="C25" s="148"/>
      <c r="D25" s="148"/>
      <c r="E25" s="147"/>
      <c r="F25" s="148"/>
      <c r="G25" s="148"/>
      <c r="H25" s="148"/>
      <c r="I25" s="147"/>
      <c r="J25" s="148"/>
    </row>
    <row r="26" spans="1:10" ht="18" customHeight="1" x14ac:dyDescent="0.3">
      <c r="A26" s="40" t="s">
        <v>145</v>
      </c>
      <c r="B26" s="40" t="s">
        <v>146</v>
      </c>
      <c r="C26" s="40" t="s">
        <v>147</v>
      </c>
      <c r="D26" s="40" t="s">
        <v>148</v>
      </c>
    </row>
    <row r="27" spans="1:10" x14ac:dyDescent="0.3">
      <c r="A27" s="7" t="s">
        <v>80</v>
      </c>
      <c r="B27" s="47"/>
      <c r="C27" s="86"/>
      <c r="D27" s="47"/>
    </row>
    <row r="28" spans="1:10" x14ac:dyDescent="0.3">
      <c r="A28" s="7" t="s">
        <v>81</v>
      </c>
      <c r="B28" s="47"/>
      <c r="C28" s="86"/>
      <c r="D28" s="47"/>
    </row>
    <row r="29" spans="1:10" x14ac:dyDescent="0.3">
      <c r="A29" s="7" t="s">
        <v>85</v>
      </c>
      <c r="B29" s="47"/>
      <c r="C29" s="86"/>
      <c r="D29" s="47"/>
    </row>
    <row r="30" spans="1:10" x14ac:dyDescent="0.3">
      <c r="A30" s="7" t="s">
        <v>88</v>
      </c>
      <c r="B30" s="47"/>
      <c r="C30" s="86"/>
      <c r="D30" s="47"/>
    </row>
    <row r="31" spans="1:10" x14ac:dyDescent="0.3">
      <c r="A31" s="7" t="s">
        <v>91</v>
      </c>
      <c r="B31" s="47"/>
      <c r="C31" s="86"/>
      <c r="D31" s="47"/>
    </row>
    <row r="32" spans="1:10" x14ac:dyDescent="0.3">
      <c r="A32" s="7" t="s">
        <v>149</v>
      </c>
      <c r="B32" s="47"/>
      <c r="C32" s="86"/>
      <c r="D32" s="47"/>
    </row>
    <row r="33" spans="1:4" x14ac:dyDescent="0.3">
      <c r="A33" s="7" t="s">
        <v>150</v>
      </c>
      <c r="B33" s="47"/>
      <c r="C33" s="86"/>
      <c r="D33" s="47"/>
    </row>
    <row r="34" spans="1:4" x14ac:dyDescent="0.3">
      <c r="A34" s="7" t="s">
        <v>151</v>
      </c>
      <c r="B34" s="47"/>
      <c r="C34" s="86"/>
      <c r="D34" s="47"/>
    </row>
    <row r="35" spans="1:4" x14ac:dyDescent="0.3">
      <c r="A35" s="7" t="s">
        <v>152</v>
      </c>
      <c r="B35" s="47"/>
      <c r="C35" s="86"/>
      <c r="D35" s="47"/>
    </row>
    <row r="36" spans="1:4" x14ac:dyDescent="0.3">
      <c r="A36" s="7" t="s">
        <v>98</v>
      </c>
      <c r="B36" s="47"/>
      <c r="C36" s="86"/>
      <c r="D36" s="47"/>
    </row>
    <row r="37" spans="1:4" x14ac:dyDescent="0.3">
      <c r="A37" s="7" t="s">
        <v>101</v>
      </c>
      <c r="B37" s="47"/>
      <c r="C37" s="86"/>
      <c r="D37" s="47"/>
    </row>
    <row r="38" spans="1:4" x14ac:dyDescent="0.3">
      <c r="A38" s="7" t="s">
        <v>104</v>
      </c>
      <c r="B38" s="47"/>
      <c r="C38" s="86"/>
      <c r="D38" s="47"/>
    </row>
    <row r="39" spans="1:4" x14ac:dyDescent="0.3">
      <c r="A39" s="10" t="s">
        <v>106</v>
      </c>
      <c r="B39" s="47"/>
      <c r="C39" s="86"/>
      <c r="D39" s="47"/>
    </row>
    <row r="40" spans="1:4" x14ac:dyDescent="0.3">
      <c r="A40" s="10" t="s">
        <v>109</v>
      </c>
      <c r="B40" s="47"/>
      <c r="C40" s="86"/>
      <c r="D40" s="47"/>
    </row>
    <row r="41" spans="1:4" x14ac:dyDescent="0.3">
      <c r="A41" s="10" t="s">
        <v>153</v>
      </c>
      <c r="B41" s="47"/>
      <c r="C41" s="86"/>
      <c r="D41" s="47"/>
    </row>
    <row r="42" spans="1:4" x14ac:dyDescent="0.3">
      <c r="A42" s="10" t="s">
        <v>154</v>
      </c>
      <c r="B42" s="47"/>
      <c r="C42" s="86"/>
      <c r="D42" s="47"/>
    </row>
    <row r="43" spans="1:4" x14ac:dyDescent="0.3">
      <c r="A43" s="10" t="s">
        <v>155</v>
      </c>
      <c r="B43" s="47"/>
      <c r="C43" s="86"/>
      <c r="D43" s="47"/>
    </row>
    <row r="44" spans="1:4" x14ac:dyDescent="0.3">
      <c r="A44" s="10" t="s">
        <v>156</v>
      </c>
      <c r="B44" s="47"/>
      <c r="C44" s="86"/>
      <c r="D44" s="47"/>
    </row>
    <row r="45" spans="1:4" x14ac:dyDescent="0.3">
      <c r="A45" s="10" t="s">
        <v>157</v>
      </c>
      <c r="B45" s="47"/>
      <c r="C45" s="86"/>
      <c r="D45" s="47"/>
    </row>
    <row r="46" spans="1:4" x14ac:dyDescent="0.3">
      <c r="A46" s="10" t="s">
        <v>158</v>
      </c>
      <c r="B46" s="47"/>
      <c r="C46" s="86"/>
      <c r="D46" s="47"/>
    </row>
    <row r="47" spans="1:4" x14ac:dyDescent="0.3">
      <c r="A47" s="10" t="s">
        <v>159</v>
      </c>
      <c r="B47" s="47"/>
      <c r="C47" s="88"/>
      <c r="D47" s="47"/>
    </row>
    <row r="48" spans="1:4" x14ac:dyDescent="0.3">
      <c r="A48" s="7" t="s">
        <v>160</v>
      </c>
      <c r="B48" s="47"/>
      <c r="C48" s="88"/>
      <c r="D48" s="12"/>
    </row>
    <row r="49" spans="1:10" x14ac:dyDescent="0.3">
      <c r="A49" s="7" t="s">
        <v>161</v>
      </c>
      <c r="B49" s="47"/>
      <c r="C49" s="88"/>
      <c r="D49" s="12"/>
    </row>
    <row r="50" spans="1:10" x14ac:dyDescent="0.3">
      <c r="A50" s="7" t="s">
        <v>162</v>
      </c>
      <c r="B50" s="47"/>
      <c r="C50" s="88"/>
      <c r="D50" s="12"/>
    </row>
    <row r="51" spans="1:10" x14ac:dyDescent="0.3">
      <c r="A51" s="115" t="s">
        <v>163</v>
      </c>
      <c r="B51" s="113" t="s">
        <v>163</v>
      </c>
      <c r="C51" s="114">
        <f>SUM($C$27:$C$40)</f>
        <v>0</v>
      </c>
      <c r="D51" s="114">
        <f>SUM($C$27:$C$40)</f>
        <v>0</v>
      </c>
    </row>
    <row r="53" spans="1:10" x14ac:dyDescent="0.3">
      <c r="A53" s="147" t="s">
        <v>164</v>
      </c>
      <c r="B53" s="148"/>
      <c r="C53" s="148"/>
      <c r="D53" s="148"/>
      <c r="E53" s="147"/>
      <c r="F53" s="148"/>
      <c r="G53" s="148"/>
      <c r="H53" s="148"/>
      <c r="I53" s="147"/>
      <c r="J53" s="148"/>
    </row>
    <row r="54" spans="1:10" ht="18" customHeight="1" x14ac:dyDescent="0.3">
      <c r="A54" s="40" t="s">
        <v>165</v>
      </c>
      <c r="B54" s="40" t="s">
        <v>128</v>
      </c>
      <c r="C54" s="40" t="s">
        <v>166</v>
      </c>
    </row>
    <row r="55" spans="1:10" x14ac:dyDescent="0.3">
      <c r="A55" s="7" t="s">
        <v>167</v>
      </c>
      <c r="B55" s="86"/>
      <c r="C55" s="7" t="s">
        <v>168</v>
      </c>
    </row>
    <row r="56" spans="1:10" x14ac:dyDescent="0.3">
      <c r="A56" s="7" t="s">
        <v>169</v>
      </c>
      <c r="B56" s="86"/>
      <c r="C56" s="7" t="s">
        <v>170</v>
      </c>
    </row>
    <row r="57" spans="1:10" hidden="1" x14ac:dyDescent="0.3"/>
    <row r="59" spans="1:10" ht="14.4" customHeight="1" x14ac:dyDescent="0.3">
      <c r="A59" s="147" t="s">
        <v>171</v>
      </c>
      <c r="B59" s="148"/>
      <c r="C59" s="148"/>
      <c r="D59" s="148"/>
      <c r="E59" s="147"/>
      <c r="F59" s="148"/>
      <c r="G59" s="148"/>
      <c r="H59" s="148"/>
      <c r="I59" s="147"/>
      <c r="J59" s="148"/>
    </row>
    <row r="60" spans="1:10" ht="18.75" customHeight="1" x14ac:dyDescent="0.3">
      <c r="A60" s="40" t="s">
        <v>172</v>
      </c>
      <c r="B60" s="40" t="s">
        <v>173</v>
      </c>
    </row>
    <row r="61" spans="1:10" ht="22.5" customHeight="1" x14ac:dyDescent="0.3">
      <c r="A61" s="89" t="s">
        <v>174</v>
      </c>
      <c r="B61" s="42"/>
    </row>
    <row r="62" spans="1:10" ht="22.5" customHeight="1" x14ac:dyDescent="0.3">
      <c r="A62" s="89" t="s">
        <v>175</v>
      </c>
      <c r="B62" s="42"/>
    </row>
    <row r="63" spans="1:10" ht="30.75" customHeight="1" x14ac:dyDescent="0.3">
      <c r="A63" s="89" t="s">
        <v>182</v>
      </c>
      <c r="B63" s="88"/>
    </row>
    <row r="64" spans="1:10" ht="34.5" customHeight="1" x14ac:dyDescent="0.3">
      <c r="A64" s="89" t="s">
        <v>177</v>
      </c>
      <c r="B64" s="88"/>
    </row>
    <row r="65" spans="1:2" ht="28.8" x14ac:dyDescent="0.3">
      <c r="A65" s="89" t="s">
        <v>183</v>
      </c>
      <c r="B65" s="88"/>
    </row>
    <row r="66" spans="1:2" ht="28.8" x14ac:dyDescent="0.3">
      <c r="A66" s="89" t="s">
        <v>184</v>
      </c>
      <c r="B66" s="88"/>
    </row>
    <row r="67" spans="1:2" ht="24" customHeight="1" x14ac:dyDescent="0.3">
      <c r="A67" s="89" t="s">
        <v>178</v>
      </c>
      <c r="B67" s="42"/>
    </row>
  </sheetData>
  <mergeCells count="18">
    <mergeCell ref="A14:D14"/>
    <mergeCell ref="E14:H14"/>
    <mergeCell ref="I14:J14"/>
    <mergeCell ref="A25:D25"/>
    <mergeCell ref="E25:H25"/>
    <mergeCell ref="B1:D1"/>
    <mergeCell ref="B12:J12"/>
    <mergeCell ref="A2:J2"/>
    <mergeCell ref="A4:D4"/>
    <mergeCell ref="E4:H4"/>
    <mergeCell ref="I4:J4"/>
    <mergeCell ref="I25:J25"/>
    <mergeCell ref="A53:D53"/>
    <mergeCell ref="E53:H53"/>
    <mergeCell ref="I53:J53"/>
    <mergeCell ref="A59:D59"/>
    <mergeCell ref="E59:H59"/>
    <mergeCell ref="I59:J59"/>
  </mergeCells>
  <conditionalFormatting sqref="C51:D51">
    <cfRule type="expression" dxfId="10" priority="1">
      <formula>AND(ABS(C51-100)&gt;0.5,C51&lt;&gt;"")</formula>
    </cfRule>
  </conditionalFormatting>
  <dataValidations count="4">
    <dataValidation type="list" allowBlank="1" sqref="B10" xr:uid="{00000000-0002-0000-0200-000000000000}">
      <formula1>"Aprovado,Pendente,Rejeitado"</formula1>
    </dataValidation>
    <dataValidation type="list" allowBlank="1" sqref="B61:B62" xr:uid="{00000000-0002-0000-0200-000001000000}">
      <formula1>"OK,Pendente,Fora"</formula1>
    </dataValidation>
    <dataValidation type="list" allowBlank="1" sqref="B67" xr:uid="{00000000-0002-0000-0200-000002000000}">
      <formula1>"Sim,Não"</formula1>
    </dataValidation>
    <dataValidation type="list" allowBlank="1" sqref="B9" xr:uid="{337BB4D5-6CFD-409B-946E-D774E4F285C3}">
      <formula1>"Aprovado,Pendente,Rejeitado,-"</formula1>
    </dataValidation>
  </dataValidations>
  <pageMargins left="0.75" right="0.75" top="1" bottom="1" header="0.5" footer="0.5"/>
  <pageSetup scale="5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8BBB-AA46-4B24-97B3-C4C9382E5AEF}">
  <sheetPr>
    <tabColor theme="6"/>
  </sheetPr>
  <dimension ref="A1:AH115"/>
  <sheetViews>
    <sheetView showGridLines="0" topLeftCell="AA1" zoomScale="115" zoomScaleNormal="115" workbookViewId="0">
      <pane ySplit="5" topLeftCell="A6" activePane="bottomLeft" state="frozen"/>
      <selection pane="bottomLeft" activeCell="H12" sqref="H12"/>
    </sheetView>
  </sheetViews>
  <sheetFormatPr defaultRowHeight="14.4" x14ac:dyDescent="0.3"/>
  <cols>
    <col min="1" max="1" width="31.33203125" customWidth="1"/>
    <col min="2" max="2" width="18.5546875" hidden="1" customWidth="1"/>
    <col min="3" max="3" width="13.6640625" style="28" customWidth="1"/>
    <col min="4" max="4" width="17.33203125" customWidth="1"/>
    <col min="5" max="7" width="17.33203125" hidden="1" customWidth="1"/>
    <col min="8" max="8" width="19.5546875" customWidth="1"/>
    <col min="9" max="11" width="19.5546875" hidden="1" customWidth="1"/>
    <col min="12" max="12" width="18.5546875" customWidth="1"/>
    <col min="13" max="14" width="15.44140625" customWidth="1"/>
    <col min="15" max="15" width="23.6640625" customWidth="1"/>
    <col min="16" max="19" width="19.44140625" customWidth="1"/>
    <col min="20" max="22" width="24" customWidth="1"/>
    <col min="23" max="28" width="18.6640625" customWidth="1"/>
    <col min="29" max="29" width="14" customWidth="1"/>
    <col min="30" max="30" width="17.44140625" customWidth="1"/>
    <col min="31" max="31" width="14" customWidth="1"/>
    <col min="32" max="32" width="20.44140625" customWidth="1"/>
    <col min="33" max="33" width="35" customWidth="1"/>
    <col min="34" max="34" width="14" customWidth="1"/>
  </cols>
  <sheetData>
    <row r="1" spans="1:34" ht="54" customHeight="1" x14ac:dyDescent="0.3">
      <c r="A1" s="38"/>
      <c r="B1" s="38"/>
      <c r="C1" s="159" t="s">
        <v>562</v>
      </c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</row>
    <row r="2" spans="1:34" ht="19.95" customHeight="1" x14ac:dyDescent="0.35">
      <c r="A2" s="144" t="s">
        <v>185</v>
      </c>
      <c r="B2" s="144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</row>
    <row r="4" spans="1:34" x14ac:dyDescent="0.3">
      <c r="A4" s="160" t="s">
        <v>186</v>
      </c>
      <c r="B4" s="160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</row>
    <row r="5" spans="1:34" ht="43.5" customHeight="1" x14ac:dyDescent="0.3">
      <c r="A5" s="40" t="s">
        <v>187</v>
      </c>
      <c r="B5" s="40" t="s">
        <v>188</v>
      </c>
      <c r="C5" s="40" t="s">
        <v>189</v>
      </c>
      <c r="D5" s="40" t="s">
        <v>190</v>
      </c>
      <c r="E5" s="84" t="s">
        <v>191</v>
      </c>
      <c r="F5" s="84" t="s">
        <v>192</v>
      </c>
      <c r="G5" s="84" t="s">
        <v>193</v>
      </c>
      <c r="H5" s="40" t="s">
        <v>194</v>
      </c>
      <c r="I5" s="84" t="s">
        <v>195</v>
      </c>
      <c r="J5" s="84" t="s">
        <v>196</v>
      </c>
      <c r="K5" s="84" t="s">
        <v>193</v>
      </c>
      <c r="L5" s="40" t="s">
        <v>197</v>
      </c>
      <c r="M5" s="84" t="s">
        <v>198</v>
      </c>
      <c r="N5" s="84" t="s">
        <v>199</v>
      </c>
      <c r="O5" s="63" t="s">
        <v>200</v>
      </c>
      <c r="P5" s="63" t="s">
        <v>201</v>
      </c>
      <c r="Q5" s="63" t="s">
        <v>202</v>
      </c>
      <c r="R5" s="63" t="s">
        <v>203</v>
      </c>
      <c r="S5" s="63" t="s">
        <v>204</v>
      </c>
      <c r="T5" s="63" t="s">
        <v>205</v>
      </c>
      <c r="U5" s="84" t="s">
        <v>198</v>
      </c>
      <c r="V5" s="84" t="s">
        <v>199</v>
      </c>
      <c r="W5" s="40" t="s">
        <v>206</v>
      </c>
      <c r="X5" s="40" t="s">
        <v>207</v>
      </c>
      <c r="Y5" s="40" t="s">
        <v>208</v>
      </c>
      <c r="Z5" s="40" t="s">
        <v>209</v>
      </c>
      <c r="AA5" s="40" t="s">
        <v>210</v>
      </c>
      <c r="AB5" s="40" t="s">
        <v>211</v>
      </c>
      <c r="AC5" s="40" t="s">
        <v>212</v>
      </c>
      <c r="AD5" s="40" t="s">
        <v>213</v>
      </c>
      <c r="AE5" s="40" t="s">
        <v>214</v>
      </c>
      <c r="AF5" s="40" t="s">
        <v>215</v>
      </c>
      <c r="AG5" s="40" t="s">
        <v>216</v>
      </c>
      <c r="AH5" s="40" t="s">
        <v>13</v>
      </c>
    </row>
    <row r="6" spans="1:34" x14ac:dyDescent="0.3">
      <c r="A6" s="4"/>
      <c r="B6" s="4"/>
      <c r="C6" s="56"/>
      <c r="D6" s="50"/>
      <c r="E6" s="85"/>
      <c r="F6" s="85"/>
      <c r="G6" s="85"/>
      <c r="H6" s="88"/>
      <c r="I6" s="85"/>
      <c r="J6" s="85"/>
      <c r="K6" s="85"/>
      <c r="L6" s="50"/>
      <c r="M6" s="87"/>
      <c r="N6" s="87"/>
      <c r="O6" s="50"/>
      <c r="P6" s="50"/>
      <c r="Q6" s="50"/>
      <c r="R6" s="50"/>
      <c r="S6" s="50"/>
      <c r="T6" s="50"/>
      <c r="U6" s="50"/>
      <c r="V6" s="50"/>
      <c r="W6" s="57"/>
      <c r="X6" s="64"/>
      <c r="Y6" s="64"/>
      <c r="Z6" s="64"/>
      <c r="AA6" s="64"/>
      <c r="AB6" s="64"/>
      <c r="AC6" s="64"/>
      <c r="AD6" s="64"/>
      <c r="AE6" s="64"/>
      <c r="AF6" s="72"/>
      <c r="AG6" s="42"/>
      <c r="AH6" s="42"/>
    </row>
    <row r="7" spans="1:34" x14ac:dyDescent="0.3">
      <c r="A7" s="4"/>
      <c r="B7" s="4"/>
      <c r="C7" s="56"/>
      <c r="D7" s="50"/>
      <c r="E7" s="85"/>
      <c r="F7" s="85"/>
      <c r="G7" s="85"/>
      <c r="H7" s="88"/>
      <c r="I7" s="85"/>
      <c r="J7" s="85"/>
      <c r="K7" s="85"/>
      <c r="L7" s="50"/>
      <c r="M7" s="87"/>
      <c r="N7" s="87"/>
      <c r="O7" s="50"/>
      <c r="P7" s="50"/>
      <c r="Q7" s="50"/>
      <c r="R7" s="50"/>
      <c r="S7" s="50"/>
      <c r="T7" s="50"/>
      <c r="U7" s="50"/>
      <c r="V7" s="50"/>
      <c r="W7" s="57"/>
      <c r="X7" s="57"/>
      <c r="Y7" s="57"/>
      <c r="Z7" s="57"/>
      <c r="AA7" s="57"/>
      <c r="AB7" s="57"/>
      <c r="AC7" s="57"/>
      <c r="AD7" s="57"/>
      <c r="AE7" s="57"/>
      <c r="AF7" s="62"/>
      <c r="AG7" s="42"/>
      <c r="AH7" s="42"/>
    </row>
    <row r="8" spans="1:34" x14ac:dyDescent="0.3">
      <c r="A8" s="4"/>
      <c r="B8" s="4"/>
      <c r="C8" s="56"/>
      <c r="D8" s="50"/>
      <c r="E8" s="85"/>
      <c r="F8" s="85"/>
      <c r="G8" s="85"/>
      <c r="H8" s="88"/>
      <c r="I8" s="85"/>
      <c r="J8" s="85"/>
      <c r="K8" s="85"/>
      <c r="L8" s="50"/>
      <c r="M8" s="87"/>
      <c r="N8" s="87"/>
      <c r="O8" s="50"/>
      <c r="P8" s="50"/>
      <c r="Q8" s="50"/>
      <c r="R8" s="50"/>
      <c r="S8" s="50"/>
      <c r="T8" s="50"/>
      <c r="U8" s="50"/>
      <c r="V8" s="50"/>
      <c r="W8" s="57"/>
      <c r="X8" s="57"/>
      <c r="Y8" s="57"/>
      <c r="Z8" s="57"/>
      <c r="AA8" s="57"/>
      <c r="AB8" s="57"/>
      <c r="AC8" s="57"/>
      <c r="AD8" s="57"/>
      <c r="AE8" s="57"/>
      <c r="AF8" s="62"/>
      <c r="AG8" s="42"/>
      <c r="AH8" s="42"/>
    </row>
    <row r="9" spans="1:34" x14ac:dyDescent="0.3">
      <c r="A9" s="4"/>
      <c r="B9" s="4"/>
      <c r="C9" s="56"/>
      <c r="D9" s="91"/>
      <c r="E9" s="85"/>
      <c r="F9" s="85"/>
      <c r="G9" s="85"/>
      <c r="H9" s="88"/>
      <c r="I9" s="85"/>
      <c r="J9" s="85"/>
      <c r="K9" s="85"/>
      <c r="L9" s="50"/>
      <c r="M9" s="87"/>
      <c r="N9" s="87"/>
      <c r="O9" s="50"/>
      <c r="P9" s="50"/>
      <c r="Q9" s="50"/>
      <c r="R9" s="50"/>
      <c r="S9" s="50"/>
      <c r="T9" s="50"/>
      <c r="U9" s="50"/>
      <c r="V9" s="50"/>
      <c r="W9" s="57"/>
      <c r="X9" s="57"/>
      <c r="Y9" s="57"/>
      <c r="Z9" s="57"/>
      <c r="AA9" s="57"/>
      <c r="AB9" s="57"/>
      <c r="AC9" s="57"/>
      <c r="AD9" s="57"/>
      <c r="AE9" s="57"/>
      <c r="AF9" s="62"/>
      <c r="AG9" s="42"/>
      <c r="AH9" s="42"/>
    </row>
    <row r="10" spans="1:34" x14ac:dyDescent="0.3">
      <c r="A10" s="4"/>
      <c r="B10" s="4"/>
      <c r="C10" s="56"/>
      <c r="D10" s="50"/>
      <c r="E10" s="85"/>
      <c r="F10" s="85"/>
      <c r="G10" s="85"/>
      <c r="H10" s="88"/>
      <c r="I10" s="85"/>
      <c r="J10" s="85"/>
      <c r="K10" s="85"/>
      <c r="L10" s="50"/>
      <c r="M10" s="87"/>
      <c r="N10" s="87"/>
      <c r="O10" s="50"/>
      <c r="P10" s="50"/>
      <c r="Q10" s="50"/>
      <c r="R10" s="50"/>
      <c r="S10" s="50"/>
      <c r="T10" s="50"/>
      <c r="U10" s="50"/>
      <c r="V10" s="50"/>
      <c r="W10" s="57"/>
      <c r="X10" s="57"/>
      <c r="Y10" s="57"/>
      <c r="Z10" s="57"/>
      <c r="AA10" s="57"/>
      <c r="AB10" s="57"/>
      <c r="AC10" s="57"/>
      <c r="AD10" s="57"/>
      <c r="AE10" s="57"/>
      <c r="AF10" s="62"/>
      <c r="AG10" s="42"/>
      <c r="AH10" s="42"/>
    </row>
    <row r="11" spans="1:34" x14ac:dyDescent="0.3">
      <c r="A11" s="4"/>
      <c r="B11" s="4"/>
      <c r="C11" s="56"/>
      <c r="D11" s="50"/>
      <c r="E11" s="85"/>
      <c r="F11" s="85"/>
      <c r="G11" s="85"/>
      <c r="H11" s="88"/>
      <c r="I11" s="85"/>
      <c r="J11" s="85"/>
      <c r="K11" s="85"/>
      <c r="L11" s="50"/>
      <c r="M11" s="87"/>
      <c r="N11" s="87"/>
      <c r="O11" s="50"/>
      <c r="P11" s="50"/>
      <c r="Q11" s="50"/>
      <c r="R11" s="50"/>
      <c r="S11" s="50"/>
      <c r="T11" s="50"/>
      <c r="U11" s="50"/>
      <c r="V11" s="50"/>
      <c r="W11" s="57"/>
      <c r="X11" s="57"/>
      <c r="Y11" s="57"/>
      <c r="Z11" s="57"/>
      <c r="AA11" s="57"/>
      <c r="AB11" s="57"/>
      <c r="AC11" s="57"/>
      <c r="AD11" s="57"/>
      <c r="AE11" s="57"/>
      <c r="AF11" s="62"/>
      <c r="AG11" s="42"/>
      <c r="AH11" s="42"/>
    </row>
    <row r="12" spans="1:34" x14ac:dyDescent="0.3">
      <c r="A12" s="4"/>
      <c r="B12" s="4"/>
      <c r="C12" s="56"/>
      <c r="D12" s="50"/>
      <c r="E12" s="85"/>
      <c r="F12" s="85"/>
      <c r="G12" s="85"/>
      <c r="H12" s="88"/>
      <c r="I12" s="85"/>
      <c r="J12" s="85"/>
      <c r="K12" s="85"/>
      <c r="L12" s="50"/>
      <c r="M12" s="87"/>
      <c r="N12" s="87"/>
      <c r="O12" s="50"/>
      <c r="P12" s="50"/>
      <c r="Q12" s="50"/>
      <c r="R12" s="50"/>
      <c r="S12" s="50"/>
      <c r="T12" s="50"/>
      <c r="U12" s="50"/>
      <c r="V12" s="50"/>
      <c r="W12" s="57"/>
      <c r="X12" s="57"/>
      <c r="Y12" s="57"/>
      <c r="Z12" s="57"/>
      <c r="AA12" s="57"/>
      <c r="AB12" s="57"/>
      <c r="AC12" s="57"/>
      <c r="AD12" s="57"/>
      <c r="AE12" s="57"/>
      <c r="AF12" s="62"/>
      <c r="AG12" s="42"/>
      <c r="AH12" s="42"/>
    </row>
    <row r="13" spans="1:34" x14ac:dyDescent="0.3">
      <c r="A13" s="4"/>
      <c r="B13" s="4"/>
      <c r="C13" s="56"/>
      <c r="D13" s="50"/>
      <c r="E13" s="85"/>
      <c r="F13" s="85"/>
      <c r="G13" s="85"/>
      <c r="H13" s="88"/>
      <c r="I13" s="85"/>
      <c r="J13" s="85"/>
      <c r="K13" s="85"/>
      <c r="L13" s="50"/>
      <c r="M13" s="87"/>
      <c r="N13" s="87"/>
      <c r="O13" s="50"/>
      <c r="P13" s="50"/>
      <c r="Q13" s="50"/>
      <c r="R13" s="50"/>
      <c r="S13" s="50"/>
      <c r="T13" s="50"/>
      <c r="U13" s="50"/>
      <c r="V13" s="50"/>
      <c r="W13" s="57"/>
      <c r="X13" s="57"/>
      <c r="Y13" s="57"/>
      <c r="Z13" s="57"/>
      <c r="AA13" s="57"/>
      <c r="AB13" s="57"/>
      <c r="AC13" s="57"/>
      <c r="AD13" s="57"/>
      <c r="AE13" s="57"/>
      <c r="AF13" s="62"/>
      <c r="AG13" s="42"/>
      <c r="AH13" s="42"/>
    </row>
    <row r="14" spans="1:34" x14ac:dyDescent="0.3">
      <c r="A14" s="4"/>
      <c r="B14" s="4"/>
      <c r="C14" s="56"/>
      <c r="D14" s="50"/>
      <c r="E14" s="85"/>
      <c r="F14" s="85"/>
      <c r="G14" s="85"/>
      <c r="H14" s="88"/>
      <c r="I14" s="85"/>
      <c r="J14" s="85"/>
      <c r="K14" s="85"/>
      <c r="L14" s="50"/>
      <c r="M14" s="87"/>
      <c r="N14" s="87"/>
      <c r="O14" s="50"/>
      <c r="P14" s="50"/>
      <c r="Q14" s="50"/>
      <c r="R14" s="50"/>
      <c r="S14" s="50"/>
      <c r="T14" s="50"/>
      <c r="U14" s="50"/>
      <c r="V14" s="50"/>
      <c r="W14" s="57"/>
      <c r="X14" s="57"/>
      <c r="Y14" s="57"/>
      <c r="Z14" s="57"/>
      <c r="AA14" s="57"/>
      <c r="AB14" s="57"/>
      <c r="AC14" s="57"/>
      <c r="AD14" s="57"/>
      <c r="AE14" s="57"/>
      <c r="AF14" s="62"/>
      <c r="AG14" s="42"/>
      <c r="AH14" s="42"/>
    </row>
    <row r="15" spans="1:34" x14ac:dyDescent="0.3">
      <c r="A15" s="4"/>
      <c r="B15" s="4"/>
      <c r="C15" s="56"/>
      <c r="D15" s="50"/>
      <c r="E15" s="85"/>
      <c r="F15" s="85"/>
      <c r="G15" s="85"/>
      <c r="H15" s="88"/>
      <c r="I15" s="85"/>
      <c r="J15" s="85"/>
      <c r="K15" s="85"/>
      <c r="L15" s="50"/>
      <c r="M15" s="87"/>
      <c r="N15" s="87"/>
      <c r="O15" s="50"/>
      <c r="P15" s="50"/>
      <c r="Q15" s="50"/>
      <c r="R15" s="50"/>
      <c r="S15" s="50"/>
      <c r="T15" s="50"/>
      <c r="U15" s="50"/>
      <c r="V15" s="50"/>
      <c r="W15" s="57"/>
      <c r="X15" s="57"/>
      <c r="Y15" s="57"/>
      <c r="Z15" s="57"/>
      <c r="AA15" s="57"/>
      <c r="AB15" s="57"/>
      <c r="AC15" s="57"/>
      <c r="AD15" s="57"/>
      <c r="AE15" s="57"/>
      <c r="AF15" s="62"/>
      <c r="AG15" s="42"/>
      <c r="AH15" s="42"/>
    </row>
    <row r="16" spans="1:34" x14ac:dyDescent="0.3">
      <c r="A16" s="4"/>
      <c r="B16" s="4"/>
      <c r="C16" s="56"/>
      <c r="D16" s="50"/>
      <c r="E16" s="85"/>
      <c r="F16" s="85"/>
      <c r="G16" s="85"/>
      <c r="H16" s="88"/>
      <c r="I16" s="85"/>
      <c r="J16" s="85"/>
      <c r="K16" s="85"/>
      <c r="L16" s="50"/>
      <c r="M16" s="87"/>
      <c r="N16" s="87"/>
      <c r="O16" s="50"/>
      <c r="P16" s="50"/>
      <c r="Q16" s="50"/>
      <c r="R16" s="50"/>
      <c r="S16" s="50"/>
      <c r="T16" s="50"/>
      <c r="U16" s="50"/>
      <c r="V16" s="50"/>
      <c r="W16" s="57"/>
      <c r="X16" s="57"/>
      <c r="Y16" s="57"/>
      <c r="Z16" s="57"/>
      <c r="AA16" s="57"/>
      <c r="AB16" s="57"/>
      <c r="AC16" s="57"/>
      <c r="AD16" s="57"/>
      <c r="AE16" s="57"/>
      <c r="AF16" s="62"/>
      <c r="AG16" s="42"/>
      <c r="AH16" s="42"/>
    </row>
    <row r="17" spans="1:34" x14ac:dyDescent="0.3">
      <c r="A17" s="4"/>
      <c r="B17" s="4"/>
      <c r="C17" s="56"/>
      <c r="D17" s="50"/>
      <c r="E17" s="85"/>
      <c r="F17" s="85"/>
      <c r="G17" s="85"/>
      <c r="H17" s="88"/>
      <c r="I17" s="85"/>
      <c r="J17" s="85"/>
      <c r="K17" s="85"/>
      <c r="L17" s="50"/>
      <c r="M17" s="87"/>
      <c r="N17" s="87"/>
      <c r="O17" s="50"/>
      <c r="P17" s="50"/>
      <c r="Q17" s="50"/>
      <c r="R17" s="50"/>
      <c r="S17" s="50"/>
      <c r="T17" s="50"/>
      <c r="U17" s="50"/>
      <c r="V17" s="50"/>
      <c r="W17" s="57"/>
      <c r="X17" s="57"/>
      <c r="Y17" s="57"/>
      <c r="Z17" s="57"/>
      <c r="AA17" s="57"/>
      <c r="AB17" s="57"/>
      <c r="AC17" s="57"/>
      <c r="AD17" s="57"/>
      <c r="AE17" s="57"/>
      <c r="AF17" s="62"/>
      <c r="AG17" s="42"/>
      <c r="AH17" s="42"/>
    </row>
    <row r="18" spans="1:34" x14ac:dyDescent="0.3">
      <c r="A18" s="4"/>
      <c r="B18" s="4"/>
      <c r="C18" s="56"/>
      <c r="D18" s="50"/>
      <c r="E18" s="85"/>
      <c r="F18" s="85"/>
      <c r="G18" s="85"/>
      <c r="H18" s="88"/>
      <c r="I18" s="85"/>
      <c r="J18" s="85"/>
      <c r="K18" s="85"/>
      <c r="L18" s="50"/>
      <c r="M18" s="87"/>
      <c r="N18" s="87"/>
      <c r="O18" s="50"/>
      <c r="P18" s="50"/>
      <c r="Q18" s="50"/>
      <c r="R18" s="50"/>
      <c r="S18" s="50"/>
      <c r="T18" s="50"/>
      <c r="U18" s="50"/>
      <c r="V18" s="50"/>
      <c r="W18" s="57"/>
      <c r="X18" s="57"/>
      <c r="Y18" s="57"/>
      <c r="Z18" s="57"/>
      <c r="AA18" s="57"/>
      <c r="AB18" s="57"/>
      <c r="AC18" s="57"/>
      <c r="AD18" s="57"/>
      <c r="AE18" s="57"/>
      <c r="AF18" s="62"/>
      <c r="AG18" s="42"/>
      <c r="AH18" s="42"/>
    </row>
    <row r="19" spans="1:34" x14ac:dyDescent="0.3">
      <c r="A19" s="4"/>
      <c r="B19" s="4"/>
      <c r="C19" s="56"/>
      <c r="D19" s="50"/>
      <c r="E19" s="85"/>
      <c r="F19" s="85"/>
      <c r="G19" s="85"/>
      <c r="H19" s="88"/>
      <c r="I19" s="85"/>
      <c r="J19" s="85"/>
      <c r="K19" s="85"/>
      <c r="L19" s="50"/>
      <c r="M19" s="87"/>
      <c r="N19" s="87"/>
      <c r="O19" s="50"/>
      <c r="P19" s="50"/>
      <c r="Q19" s="50"/>
      <c r="R19" s="50"/>
      <c r="S19" s="50"/>
      <c r="T19" s="50"/>
      <c r="U19" s="50"/>
      <c r="V19" s="50"/>
      <c r="W19" s="57"/>
      <c r="X19" s="57"/>
      <c r="Y19" s="57"/>
      <c r="Z19" s="57"/>
      <c r="AA19" s="57"/>
      <c r="AB19" s="57"/>
      <c r="AC19" s="57"/>
      <c r="AD19" s="57"/>
      <c r="AE19" s="57"/>
      <c r="AF19" s="62"/>
      <c r="AG19" s="42"/>
      <c r="AH19" s="42"/>
    </row>
    <row r="20" spans="1:34" x14ac:dyDescent="0.3">
      <c r="A20" s="4"/>
      <c r="B20" s="4"/>
      <c r="C20" s="56"/>
      <c r="D20" s="50"/>
      <c r="E20" s="85"/>
      <c r="F20" s="85"/>
      <c r="G20" s="85"/>
      <c r="H20" s="88"/>
      <c r="I20" s="85"/>
      <c r="J20" s="85"/>
      <c r="K20" s="85"/>
      <c r="L20" s="50"/>
      <c r="M20" s="87"/>
      <c r="N20" s="87"/>
      <c r="O20" s="50"/>
      <c r="P20" s="50"/>
      <c r="Q20" s="50"/>
      <c r="R20" s="50"/>
      <c r="S20" s="50"/>
      <c r="T20" s="50"/>
      <c r="U20" s="50"/>
      <c r="V20" s="50"/>
      <c r="W20" s="57"/>
      <c r="X20" s="57"/>
      <c r="Y20" s="57"/>
      <c r="Z20" s="57"/>
      <c r="AA20" s="57"/>
      <c r="AB20" s="57"/>
      <c r="AC20" s="57"/>
      <c r="AD20" s="57"/>
      <c r="AE20" s="57"/>
      <c r="AF20" s="62"/>
      <c r="AG20" s="42"/>
      <c r="AH20" s="42"/>
    </row>
    <row r="21" spans="1:34" x14ac:dyDescent="0.3">
      <c r="A21" s="4"/>
      <c r="B21" s="4"/>
      <c r="C21" s="56"/>
      <c r="D21" s="50"/>
      <c r="E21" s="85"/>
      <c r="F21" s="85"/>
      <c r="G21" s="85"/>
      <c r="H21" s="88"/>
      <c r="I21" s="85"/>
      <c r="J21" s="85"/>
      <c r="K21" s="85"/>
      <c r="L21" s="50"/>
      <c r="M21" s="87"/>
      <c r="N21" s="87"/>
      <c r="O21" s="50"/>
      <c r="P21" s="50"/>
      <c r="Q21" s="50"/>
      <c r="R21" s="50"/>
      <c r="S21" s="50"/>
      <c r="T21" s="50"/>
      <c r="U21" s="50"/>
      <c r="V21" s="50"/>
      <c r="W21" s="57"/>
      <c r="X21" s="57"/>
      <c r="Y21" s="57"/>
      <c r="Z21" s="57"/>
      <c r="AA21" s="57"/>
      <c r="AB21" s="57"/>
      <c r="AC21" s="57"/>
      <c r="AD21" s="57"/>
      <c r="AE21" s="57"/>
      <c r="AF21" s="62"/>
      <c r="AG21" s="42"/>
      <c r="AH21" s="42"/>
    </row>
    <row r="22" spans="1:34" x14ac:dyDescent="0.3">
      <c r="A22" s="4"/>
      <c r="B22" s="4"/>
      <c r="C22" s="56"/>
      <c r="D22" s="50"/>
      <c r="E22" s="85"/>
      <c r="F22" s="85"/>
      <c r="G22" s="85"/>
      <c r="H22" s="88"/>
      <c r="I22" s="85"/>
      <c r="J22" s="85"/>
      <c r="K22" s="85"/>
      <c r="L22" s="50"/>
      <c r="M22" s="87"/>
      <c r="N22" s="87"/>
      <c r="O22" s="50"/>
      <c r="P22" s="50"/>
      <c r="Q22" s="50"/>
      <c r="R22" s="50"/>
      <c r="S22" s="50"/>
      <c r="T22" s="50"/>
      <c r="U22" s="50"/>
      <c r="V22" s="50"/>
      <c r="W22" s="57"/>
      <c r="X22" s="57"/>
      <c r="Y22" s="57"/>
      <c r="Z22" s="57"/>
      <c r="AA22" s="57"/>
      <c r="AB22" s="57"/>
      <c r="AC22" s="57"/>
      <c r="AD22" s="57"/>
      <c r="AE22" s="57"/>
      <c r="AF22" s="62"/>
      <c r="AG22" s="42"/>
      <c r="AH22" s="42"/>
    </row>
    <row r="23" spans="1:34" x14ac:dyDescent="0.3">
      <c r="A23" s="4"/>
      <c r="B23" s="4"/>
      <c r="C23" s="56"/>
      <c r="D23" s="50"/>
      <c r="E23" s="85"/>
      <c r="F23" s="85"/>
      <c r="G23" s="85"/>
      <c r="H23" s="88"/>
      <c r="I23" s="85"/>
      <c r="J23" s="85"/>
      <c r="K23" s="85"/>
      <c r="L23" s="50"/>
      <c r="M23" s="87"/>
      <c r="N23" s="87"/>
      <c r="O23" s="50"/>
      <c r="P23" s="50"/>
      <c r="Q23" s="50"/>
      <c r="R23" s="50"/>
      <c r="S23" s="50"/>
      <c r="T23" s="50"/>
      <c r="U23" s="50"/>
      <c r="V23" s="50"/>
      <c r="W23" s="57"/>
      <c r="X23" s="57"/>
      <c r="Y23" s="57"/>
      <c r="Z23" s="57"/>
      <c r="AA23" s="57"/>
      <c r="AB23" s="57"/>
      <c r="AC23" s="57"/>
      <c r="AD23" s="57"/>
      <c r="AE23" s="57"/>
      <c r="AF23" s="62"/>
      <c r="AG23" s="42"/>
      <c r="AH23" s="42"/>
    </row>
    <row r="24" spans="1:34" x14ac:dyDescent="0.3">
      <c r="A24" s="4"/>
      <c r="B24" s="4"/>
      <c r="C24" s="56"/>
      <c r="D24" s="50"/>
      <c r="E24" s="85"/>
      <c r="F24" s="85"/>
      <c r="G24" s="85"/>
      <c r="H24" s="88"/>
      <c r="I24" s="85"/>
      <c r="J24" s="85"/>
      <c r="K24" s="85"/>
      <c r="L24" s="50"/>
      <c r="M24" s="87"/>
      <c r="N24" s="87"/>
      <c r="O24" s="50"/>
      <c r="P24" s="50"/>
      <c r="Q24" s="50"/>
      <c r="R24" s="50"/>
      <c r="S24" s="50"/>
      <c r="T24" s="50"/>
      <c r="U24" s="50"/>
      <c r="V24" s="50"/>
      <c r="W24" s="57"/>
      <c r="X24" s="57"/>
      <c r="Y24" s="57"/>
      <c r="Z24" s="57"/>
      <c r="AA24" s="57"/>
      <c r="AB24" s="57"/>
      <c r="AC24" s="57"/>
      <c r="AD24" s="57"/>
      <c r="AE24" s="57"/>
      <c r="AF24" s="62"/>
      <c r="AG24" s="42"/>
      <c r="AH24" s="42"/>
    </row>
    <row r="25" spans="1:34" x14ac:dyDescent="0.3">
      <c r="A25" s="4"/>
      <c r="B25" s="4"/>
      <c r="C25" s="56"/>
      <c r="D25" s="50"/>
      <c r="E25" s="85"/>
      <c r="F25" s="85"/>
      <c r="G25" s="85"/>
      <c r="H25" s="88"/>
      <c r="I25" s="85"/>
      <c r="J25" s="85"/>
      <c r="K25" s="85"/>
      <c r="L25" s="50"/>
      <c r="M25" s="87"/>
      <c r="N25" s="87"/>
      <c r="O25" s="50"/>
      <c r="P25" s="50"/>
      <c r="Q25" s="50"/>
      <c r="R25" s="50"/>
      <c r="S25" s="50"/>
      <c r="T25" s="50"/>
      <c r="U25" s="50"/>
      <c r="V25" s="50"/>
      <c r="W25" s="57"/>
      <c r="X25" s="57"/>
      <c r="Y25" s="57"/>
      <c r="Z25" s="57"/>
      <c r="AA25" s="57"/>
      <c r="AB25" s="57"/>
      <c r="AC25" s="57"/>
      <c r="AD25" s="57"/>
      <c r="AE25" s="57"/>
      <c r="AF25" s="62"/>
      <c r="AG25" s="42"/>
      <c r="AH25" s="42"/>
    </row>
    <row r="26" spans="1:34" x14ac:dyDescent="0.3">
      <c r="A26" s="4"/>
      <c r="B26" s="4"/>
      <c r="C26" s="56"/>
      <c r="D26" s="50"/>
      <c r="E26" s="85"/>
      <c r="F26" s="85"/>
      <c r="G26" s="85"/>
      <c r="H26" s="88"/>
      <c r="I26" s="85"/>
      <c r="J26" s="85"/>
      <c r="K26" s="85"/>
      <c r="L26" s="50"/>
      <c r="M26" s="87"/>
      <c r="N26" s="87"/>
      <c r="O26" s="50"/>
      <c r="P26" s="50"/>
      <c r="Q26" s="50"/>
      <c r="R26" s="50"/>
      <c r="S26" s="50"/>
      <c r="T26" s="50"/>
      <c r="U26" s="50"/>
      <c r="V26" s="50"/>
      <c r="W26" s="57"/>
      <c r="X26" s="57"/>
      <c r="Y26" s="57"/>
      <c r="Z26" s="57"/>
      <c r="AA26" s="57"/>
      <c r="AB26" s="57"/>
      <c r="AC26" s="57"/>
      <c r="AD26" s="57"/>
      <c r="AE26" s="57"/>
      <c r="AF26" s="62"/>
      <c r="AG26" s="42"/>
      <c r="AH26" s="42"/>
    </row>
    <row r="27" spans="1:34" x14ac:dyDescent="0.3">
      <c r="A27" s="4"/>
      <c r="B27" s="4"/>
      <c r="C27" s="56"/>
      <c r="D27" s="50"/>
      <c r="E27" s="85"/>
      <c r="F27" s="85"/>
      <c r="G27" s="85"/>
      <c r="H27" s="88"/>
      <c r="I27" s="85"/>
      <c r="J27" s="85"/>
      <c r="K27" s="85"/>
      <c r="L27" s="50"/>
      <c r="M27" s="87"/>
      <c r="N27" s="87"/>
      <c r="O27" s="50"/>
      <c r="P27" s="50"/>
      <c r="Q27" s="50"/>
      <c r="R27" s="50"/>
      <c r="S27" s="50"/>
      <c r="T27" s="50"/>
      <c r="U27" s="50"/>
      <c r="V27" s="50"/>
      <c r="W27" s="57"/>
      <c r="X27" s="57"/>
      <c r="Y27" s="57"/>
      <c r="Z27" s="57"/>
      <c r="AA27" s="57"/>
      <c r="AB27" s="57"/>
      <c r="AC27" s="57"/>
      <c r="AD27" s="57"/>
      <c r="AE27" s="57"/>
      <c r="AF27" s="62"/>
      <c r="AG27" s="42"/>
      <c r="AH27" s="42"/>
    </row>
    <row r="28" spans="1:34" x14ac:dyDescent="0.3">
      <c r="A28" s="4"/>
      <c r="B28" s="4"/>
      <c r="C28" s="56"/>
      <c r="D28" s="50"/>
      <c r="E28" s="85"/>
      <c r="F28" s="85"/>
      <c r="G28" s="85"/>
      <c r="H28" s="88"/>
      <c r="I28" s="85"/>
      <c r="J28" s="85"/>
      <c r="K28" s="85"/>
      <c r="L28" s="50"/>
      <c r="M28" s="87"/>
      <c r="N28" s="87"/>
      <c r="O28" s="50"/>
      <c r="P28" s="50"/>
      <c r="Q28" s="50"/>
      <c r="R28" s="50"/>
      <c r="S28" s="50"/>
      <c r="T28" s="50"/>
      <c r="U28" s="50"/>
      <c r="V28" s="50"/>
      <c r="W28" s="57"/>
      <c r="X28" s="57"/>
      <c r="Y28" s="57"/>
      <c r="Z28" s="57"/>
      <c r="AA28" s="57"/>
      <c r="AB28" s="57"/>
      <c r="AC28" s="57"/>
      <c r="AD28" s="57"/>
      <c r="AE28" s="57"/>
      <c r="AF28" s="62"/>
      <c r="AG28" s="42"/>
      <c r="AH28" s="42"/>
    </row>
    <row r="29" spans="1:34" ht="12" customHeight="1" x14ac:dyDescent="0.3">
      <c r="A29" s="4"/>
      <c r="B29" s="4"/>
      <c r="C29" s="56"/>
      <c r="D29" s="50"/>
      <c r="E29" s="85"/>
      <c r="F29" s="85"/>
      <c r="G29" s="85"/>
      <c r="H29" s="88"/>
      <c r="I29" s="85"/>
      <c r="J29" s="85"/>
      <c r="K29" s="85"/>
      <c r="L29" s="50"/>
      <c r="M29" s="87"/>
      <c r="N29" s="87"/>
      <c r="O29" s="50"/>
      <c r="P29" s="50"/>
      <c r="Q29" s="50"/>
      <c r="R29" s="50"/>
      <c r="S29" s="50"/>
      <c r="T29" s="50"/>
      <c r="U29" s="50"/>
      <c r="V29" s="50"/>
      <c r="W29" s="57"/>
      <c r="X29" s="57"/>
      <c r="Y29" s="57"/>
      <c r="Z29" s="57"/>
      <c r="AA29" s="57"/>
      <c r="AB29" s="57"/>
      <c r="AC29" s="57"/>
      <c r="AD29" s="57"/>
      <c r="AE29" s="57"/>
      <c r="AF29" s="62"/>
      <c r="AG29" s="42"/>
      <c r="AH29" s="42"/>
    </row>
    <row r="30" spans="1:34" ht="12" customHeight="1" x14ac:dyDescent="0.3">
      <c r="A30" s="53"/>
      <c r="B30" s="5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50"/>
      <c r="U30" s="83"/>
      <c r="V30" s="83"/>
    </row>
    <row r="31" spans="1:34" x14ac:dyDescent="0.3">
      <c r="A31" s="154" t="s">
        <v>217</v>
      </c>
      <c r="B31" s="154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16"/>
      <c r="V31" s="116"/>
    </row>
    <row r="32" spans="1:34" x14ac:dyDescent="0.3">
      <c r="A32" s="41" t="s">
        <v>218</v>
      </c>
      <c r="B32" s="41"/>
      <c r="C32" s="100"/>
      <c r="D32" s="16"/>
      <c r="E32" s="16"/>
      <c r="F32" s="16"/>
      <c r="G32" s="16"/>
      <c r="H32" s="16"/>
      <c r="I32" s="16"/>
      <c r="J32" s="16"/>
      <c r="K32" s="16"/>
    </row>
    <row r="33" spans="1:15" x14ac:dyDescent="0.3">
      <c r="A33" s="41" t="s">
        <v>219</v>
      </c>
      <c r="B33" s="41"/>
      <c r="C33" s="91"/>
      <c r="D33" s="16"/>
      <c r="E33" s="16"/>
      <c r="F33" s="16"/>
      <c r="G33" s="16"/>
      <c r="H33" s="98"/>
      <c r="I33" s="16"/>
      <c r="J33" s="16"/>
      <c r="K33" s="16"/>
    </row>
    <row r="34" spans="1:15" x14ac:dyDescent="0.3">
      <c r="A34" s="41" t="s">
        <v>220</v>
      </c>
      <c r="B34" s="41"/>
      <c r="C34" s="91"/>
      <c r="D34" s="16"/>
      <c r="E34" s="16"/>
      <c r="F34" s="16"/>
      <c r="G34" s="16"/>
      <c r="H34" s="16"/>
      <c r="I34" s="16"/>
      <c r="J34" s="16"/>
      <c r="K34" s="16"/>
    </row>
    <row r="35" spans="1:15" x14ac:dyDescent="0.3">
      <c r="A35" s="41" t="s">
        <v>221</v>
      </c>
      <c r="B35" s="41"/>
      <c r="C35" s="91"/>
      <c r="D35" s="98"/>
      <c r="E35" s="98"/>
      <c r="F35" s="98"/>
      <c r="G35" s="98"/>
      <c r="H35" s="98"/>
      <c r="I35" s="16"/>
      <c r="J35" s="16"/>
      <c r="K35" s="16"/>
    </row>
    <row r="36" spans="1:15" s="58" customFormat="1" x14ac:dyDescent="0.3">
      <c r="A36" s="41" t="s">
        <v>222</v>
      </c>
      <c r="B36" s="41"/>
      <c r="C36" s="91"/>
      <c r="D36" s="16"/>
      <c r="E36" s="16"/>
      <c r="F36" s="16"/>
      <c r="G36" s="16"/>
      <c r="H36" s="16"/>
      <c r="I36" s="16"/>
      <c r="J36" s="16"/>
      <c r="K36" s="16"/>
      <c r="L36"/>
      <c r="M36"/>
      <c r="N36"/>
      <c r="O36"/>
    </row>
    <row r="37" spans="1:15" s="58" customFormat="1" x14ac:dyDescent="0.3">
      <c r="A37" s="41" t="s">
        <v>223</v>
      </c>
      <c r="B37" s="41"/>
      <c r="C37" s="91"/>
      <c r="D37" s="16"/>
      <c r="E37" s="16"/>
      <c r="F37" s="16"/>
      <c r="G37" s="16"/>
      <c r="H37" s="16"/>
      <c r="I37" s="16"/>
      <c r="J37" s="16"/>
      <c r="K37" s="16"/>
      <c r="L37"/>
      <c r="M37"/>
      <c r="N37"/>
      <c r="O37"/>
    </row>
    <row r="38" spans="1:15" s="58" customFormat="1" x14ac:dyDescent="0.3">
      <c r="A38" s="41" t="s">
        <v>224</v>
      </c>
      <c r="B38" s="41"/>
      <c r="C38" s="91"/>
      <c r="D38" s="16"/>
      <c r="E38" s="16"/>
      <c r="F38" s="16"/>
      <c r="G38" s="16"/>
      <c r="H38" s="16"/>
      <c r="I38" s="16"/>
      <c r="J38" s="16"/>
      <c r="K38" s="16"/>
      <c r="L38" s="81"/>
      <c r="M38"/>
      <c r="N38"/>
      <c r="O38"/>
    </row>
    <row r="39" spans="1:15" s="58" customFormat="1" ht="13.95" customHeight="1" x14ac:dyDescent="0.3">
      <c r="A39" s="41" t="s">
        <v>225</v>
      </c>
      <c r="B39" s="41"/>
      <c r="C39" s="91"/>
      <c r="D39" s="16"/>
      <c r="E39" s="16"/>
      <c r="F39" s="16"/>
      <c r="G39" s="16"/>
      <c r="H39" s="16"/>
      <c r="I39" s="16"/>
      <c r="J39" s="16"/>
      <c r="K39" s="16"/>
      <c r="L39"/>
      <c r="M39"/>
      <c r="N39"/>
      <c r="O39"/>
    </row>
    <row r="40" spans="1:15" s="58" customFormat="1" x14ac:dyDescent="0.3">
      <c r="A40" s="94" t="s">
        <v>226</v>
      </c>
      <c r="B40" s="41"/>
      <c r="C40" s="91"/>
      <c r="D40" s="16"/>
      <c r="E40" s="16"/>
      <c r="F40" s="16"/>
      <c r="G40" s="16"/>
      <c r="H40" s="16"/>
      <c r="I40" s="16"/>
      <c r="J40" s="16"/>
      <c r="K40" s="16"/>
      <c r="L40"/>
      <c r="M40"/>
      <c r="N40"/>
      <c r="O40"/>
    </row>
    <row r="41" spans="1:15" s="58" customFormat="1" x14ac:dyDescent="0.3">
      <c r="A41" s="95" t="s">
        <v>227</v>
      </c>
      <c r="B41" s="93"/>
      <c r="C41" s="91"/>
      <c r="D41" s="16"/>
      <c r="E41" s="16"/>
      <c r="F41" s="16"/>
      <c r="G41" s="16"/>
      <c r="H41" s="16"/>
      <c r="I41" s="16"/>
      <c r="J41" s="16"/>
      <c r="K41" s="16"/>
      <c r="L41"/>
      <c r="M41"/>
      <c r="N41"/>
      <c r="O41"/>
    </row>
    <row r="42" spans="1:15" s="58" customFormat="1" x14ac:dyDescent="0.3">
      <c r="A42" s="92" t="s">
        <v>228</v>
      </c>
      <c r="B42" s="41"/>
      <c r="C42" s="91"/>
      <c r="D42" s="16"/>
      <c r="E42" s="16"/>
      <c r="F42" s="16"/>
      <c r="G42" s="16"/>
      <c r="H42" s="16"/>
      <c r="I42" s="16"/>
      <c r="J42" s="16"/>
      <c r="K42" s="16"/>
      <c r="L42"/>
      <c r="M42"/>
      <c r="N42"/>
      <c r="O42"/>
    </row>
    <row r="43" spans="1:15" s="58" customFormat="1" x14ac:dyDescent="0.3">
      <c r="C43" s="59"/>
      <c r="H43"/>
      <c r="I43"/>
      <c r="J43"/>
      <c r="K43"/>
      <c r="L43"/>
      <c r="M43"/>
      <c r="N43"/>
      <c r="O43"/>
    </row>
    <row r="44" spans="1:15" s="58" customFormat="1" x14ac:dyDescent="0.3">
      <c r="C44" s="59"/>
    </row>
    <row r="45" spans="1:15" s="58" customFormat="1" ht="21" customHeight="1" x14ac:dyDescent="0.3">
      <c r="C45" s="59"/>
    </row>
    <row r="46" spans="1:15" s="58" customFormat="1" ht="21" hidden="1" customHeight="1" x14ac:dyDescent="0.3">
      <c r="C46" s="59"/>
    </row>
    <row r="47" spans="1:15" s="58" customFormat="1" ht="21" hidden="1" customHeight="1" x14ac:dyDescent="0.3">
      <c r="C47" s="59" t="s">
        <v>229</v>
      </c>
    </row>
    <row r="48" spans="1:15" s="58" customFormat="1" ht="21" hidden="1" customHeight="1" x14ac:dyDescent="0.3">
      <c r="C48" s="59"/>
    </row>
    <row r="49" spans="1:16" s="58" customFormat="1" ht="21" hidden="1" customHeight="1" x14ac:dyDescent="0.3">
      <c r="A49" s="67"/>
      <c r="B49" s="67"/>
      <c r="C49" s="68"/>
      <c r="D49" s="67"/>
      <c r="E49" s="67"/>
      <c r="F49" s="67"/>
      <c r="G49" s="67"/>
      <c r="H49" s="67"/>
      <c r="I49" s="67"/>
      <c r="J49" s="67"/>
      <c r="K49" s="67"/>
    </row>
    <row r="50" spans="1:16" s="58" customFormat="1" ht="21" hidden="1" customHeight="1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1"/>
      <c r="M50" s="61"/>
      <c r="N50" s="61"/>
      <c r="O50" s="61"/>
      <c r="P50" s="61"/>
    </row>
    <row r="51" spans="1:16" s="58" customFormat="1" ht="21" hidden="1" customHeight="1" x14ac:dyDescent="0.3">
      <c r="A51" s="158" t="s">
        <v>230</v>
      </c>
      <c r="B51" s="158"/>
      <c r="C51" s="158"/>
      <c r="D51" s="158"/>
      <c r="E51" s="158"/>
      <c r="F51" s="158"/>
      <c r="G51" s="158"/>
      <c r="H51" s="158"/>
      <c r="I51" s="80"/>
      <c r="J51" s="80"/>
      <c r="K51" s="80"/>
      <c r="L51" s="61"/>
      <c r="M51" s="61"/>
      <c r="N51" s="61"/>
      <c r="O51" s="61"/>
      <c r="P51" s="61"/>
    </row>
    <row r="52" spans="1:16" s="58" customFormat="1" ht="21" hidden="1" customHeight="1" x14ac:dyDescent="0.3">
      <c r="A52" s="69"/>
      <c r="B52" s="69"/>
      <c r="C52" s="69" t="s">
        <v>231</v>
      </c>
      <c r="D52" s="69" t="s">
        <v>232</v>
      </c>
      <c r="E52" s="67"/>
      <c r="F52" s="67"/>
      <c r="G52" s="67"/>
      <c r="H52" s="69" t="s">
        <v>233</v>
      </c>
      <c r="I52" s="69"/>
      <c r="J52" s="69"/>
      <c r="K52" s="69"/>
      <c r="L52" s="61" t="s">
        <v>234</v>
      </c>
      <c r="M52" s="61"/>
      <c r="N52" s="61"/>
      <c r="O52" s="61"/>
      <c r="P52" s="61"/>
    </row>
    <row r="53" spans="1:16" s="58" customFormat="1" ht="21" hidden="1" customHeight="1" x14ac:dyDescent="0.3">
      <c r="A53" s="70" t="s">
        <v>235</v>
      </c>
      <c r="B53" s="70" t="s">
        <v>236</v>
      </c>
      <c r="C53" s="70" t="s">
        <v>237</v>
      </c>
      <c r="D53" s="70" t="s">
        <v>238</v>
      </c>
      <c r="E53" s="67"/>
      <c r="F53" s="67"/>
      <c r="G53" s="67"/>
      <c r="H53" s="69" t="s">
        <v>163</v>
      </c>
      <c r="I53" s="69"/>
      <c r="J53" s="69"/>
      <c r="K53" s="69"/>
      <c r="L53" s="60" t="s">
        <v>239</v>
      </c>
      <c r="M53" s="60"/>
      <c r="N53" s="60"/>
      <c r="O53" s="60"/>
      <c r="P53" s="60"/>
    </row>
    <row r="54" spans="1:16" s="58" customFormat="1" ht="21" hidden="1" customHeight="1" x14ac:dyDescent="0.3">
      <c r="A54" s="60" t="s">
        <v>240</v>
      </c>
      <c r="B54" s="60" t="s">
        <v>236</v>
      </c>
      <c r="C54" s="60" t="s">
        <v>241</v>
      </c>
      <c r="D54" s="60" t="s">
        <v>242</v>
      </c>
      <c r="H54" s="61" t="s">
        <v>163</v>
      </c>
      <c r="I54" s="61"/>
      <c r="J54" s="61"/>
      <c r="K54" s="61"/>
      <c r="L54" s="60" t="s">
        <v>243</v>
      </c>
      <c r="M54" s="60"/>
      <c r="N54" s="60"/>
      <c r="O54" s="60"/>
      <c r="P54" s="60"/>
    </row>
    <row r="55" spans="1:16" s="58" customFormat="1" ht="21" hidden="1" customHeight="1" x14ac:dyDescent="0.3">
      <c r="A55" s="60" t="s">
        <v>244</v>
      </c>
      <c r="B55" s="60" t="s">
        <v>245</v>
      </c>
      <c r="C55" s="60" t="s">
        <v>246</v>
      </c>
      <c r="D55" s="60" t="s">
        <v>247</v>
      </c>
      <c r="H55" s="61" t="s">
        <v>163</v>
      </c>
      <c r="I55" s="61"/>
      <c r="J55" s="61"/>
      <c r="K55" s="61"/>
      <c r="L55" s="60" t="s">
        <v>248</v>
      </c>
      <c r="M55" s="60"/>
      <c r="N55" s="60"/>
      <c r="O55" s="60"/>
      <c r="P55" s="60"/>
    </row>
    <row r="56" spans="1:16" s="58" customFormat="1" ht="21" hidden="1" customHeight="1" x14ac:dyDescent="0.3">
      <c r="A56" s="60" t="s">
        <v>249</v>
      </c>
      <c r="B56" s="60" t="s">
        <v>236</v>
      </c>
      <c r="C56" s="60" t="s">
        <v>250</v>
      </c>
      <c r="D56" s="60" t="s">
        <v>251</v>
      </c>
      <c r="H56" s="61" t="s">
        <v>163</v>
      </c>
      <c r="I56" s="61"/>
      <c r="J56" s="61"/>
      <c r="K56" s="61"/>
      <c r="L56" s="60" t="s">
        <v>252</v>
      </c>
      <c r="M56" s="60"/>
      <c r="N56" s="60"/>
      <c r="O56" s="60"/>
      <c r="P56" s="60"/>
    </row>
    <row r="57" spans="1:16" s="58" customFormat="1" ht="21" hidden="1" customHeight="1" x14ac:dyDescent="0.3">
      <c r="A57" s="60" t="s">
        <v>253</v>
      </c>
      <c r="B57" s="60" t="s">
        <v>254</v>
      </c>
      <c r="C57" s="60" t="s">
        <v>255</v>
      </c>
      <c r="D57" s="60" t="s">
        <v>256</v>
      </c>
      <c r="H57" s="61" t="s">
        <v>163</v>
      </c>
      <c r="I57" s="61"/>
      <c r="J57" s="61"/>
      <c r="K57" s="61"/>
      <c r="L57" s="60" t="s">
        <v>257</v>
      </c>
      <c r="M57" s="60"/>
      <c r="N57" s="60"/>
      <c r="O57" s="60"/>
      <c r="P57" s="60"/>
    </row>
    <row r="58" spans="1:16" s="58" customFormat="1" ht="21" hidden="1" customHeight="1" x14ac:dyDescent="0.3">
      <c r="A58" s="60"/>
      <c r="B58" s="60"/>
      <c r="C58" s="60"/>
      <c r="D58" s="60" t="s">
        <v>258</v>
      </c>
      <c r="E58" s="60"/>
      <c r="F58" s="60"/>
      <c r="G58" s="60"/>
      <c r="H58" s="61"/>
      <c r="I58" s="61"/>
      <c r="J58" s="61"/>
      <c r="K58" s="61"/>
      <c r="L58" s="61"/>
      <c r="M58" s="61"/>
      <c r="N58" s="61"/>
      <c r="O58" s="61"/>
      <c r="P58" s="61"/>
    </row>
    <row r="59" spans="1:16" s="58" customFormat="1" ht="21" hidden="1" customHeight="1" x14ac:dyDescent="0.3">
      <c r="A59" s="61"/>
      <c r="B59" s="61"/>
      <c r="C59" s="61"/>
      <c r="D59" s="96" t="s">
        <v>258</v>
      </c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</row>
    <row r="60" spans="1:16" s="58" customFormat="1" ht="21" hidden="1" customHeight="1" x14ac:dyDescent="0.3">
      <c r="A60" s="61"/>
      <c r="B60" s="61"/>
      <c r="C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</row>
    <row r="61" spans="1:16" s="58" customFormat="1" ht="21" hidden="1" customHeight="1" x14ac:dyDescent="0.3">
      <c r="C61" s="59"/>
    </row>
    <row r="62" spans="1:16" s="58" customFormat="1" ht="21" hidden="1" customHeight="1" x14ac:dyDescent="0.3">
      <c r="C62" s="60" t="s">
        <v>234</v>
      </c>
    </row>
    <row r="63" spans="1:16" s="58" customFormat="1" ht="21" hidden="1" customHeight="1" x14ac:dyDescent="0.3">
      <c r="C63" s="60" t="s">
        <v>259</v>
      </c>
    </row>
    <row r="64" spans="1:16" s="58" customFormat="1" ht="21" hidden="1" customHeight="1" x14ac:dyDescent="0.3">
      <c r="C64" s="60" t="s">
        <v>260</v>
      </c>
    </row>
    <row r="65" spans="2:3" s="58" customFormat="1" ht="21" hidden="1" customHeight="1" x14ac:dyDescent="0.3">
      <c r="C65" s="60" t="s">
        <v>261</v>
      </c>
    </row>
    <row r="66" spans="2:3" s="58" customFormat="1" ht="21" hidden="1" customHeight="1" x14ac:dyDescent="0.3">
      <c r="C66" s="60" t="s">
        <v>262</v>
      </c>
    </row>
    <row r="67" spans="2:3" s="58" customFormat="1" ht="21" hidden="1" customHeight="1" x14ac:dyDescent="0.3">
      <c r="C67" s="60" t="s">
        <v>263</v>
      </c>
    </row>
    <row r="68" spans="2:3" s="58" customFormat="1" ht="21" hidden="1" customHeight="1" x14ac:dyDescent="0.3">
      <c r="C68" s="60" t="s">
        <v>264</v>
      </c>
    </row>
    <row r="69" spans="2:3" s="58" customFormat="1" ht="21" hidden="1" customHeight="1" x14ac:dyDescent="0.3">
      <c r="C69" s="71" t="s">
        <v>265</v>
      </c>
    </row>
    <row r="70" spans="2:3" s="58" customFormat="1" ht="21" hidden="1" customHeight="1" x14ac:dyDescent="0.3">
      <c r="C70" s="71" t="s">
        <v>266</v>
      </c>
    </row>
    <row r="71" spans="2:3" s="58" customFormat="1" ht="21" hidden="1" customHeight="1" x14ac:dyDescent="0.3">
      <c r="C71" s="71" t="s">
        <v>267</v>
      </c>
    </row>
    <row r="72" spans="2:3" s="58" customFormat="1" ht="21" hidden="1" customHeight="1" x14ac:dyDescent="0.3">
      <c r="C72" s="60" t="s">
        <v>268</v>
      </c>
    </row>
    <row r="73" spans="2:3" s="58" customFormat="1" ht="21" hidden="1" customHeight="1" x14ac:dyDescent="0.3"/>
    <row r="74" spans="2:3" s="58" customFormat="1" ht="21" hidden="1" customHeight="1" x14ac:dyDescent="0.3">
      <c r="B74" s="69" t="s">
        <v>231</v>
      </c>
      <c r="C74" s="71" t="s">
        <v>269</v>
      </c>
    </row>
    <row r="75" spans="2:3" s="58" customFormat="1" ht="21" hidden="1" customHeight="1" x14ac:dyDescent="0.3">
      <c r="B75" s="69" t="s">
        <v>270</v>
      </c>
      <c r="C75" s="71" t="s">
        <v>229</v>
      </c>
    </row>
    <row r="76" spans="2:3" s="58" customFormat="1" ht="21" hidden="1" customHeight="1" x14ac:dyDescent="0.3">
      <c r="B76" s="69" t="s">
        <v>271</v>
      </c>
      <c r="C76" s="71" t="s">
        <v>272</v>
      </c>
    </row>
    <row r="77" spans="2:3" s="58" customFormat="1" ht="21" hidden="1" customHeight="1" x14ac:dyDescent="0.3">
      <c r="B77" s="69" t="s">
        <v>273</v>
      </c>
      <c r="C77" s="60" t="s">
        <v>274</v>
      </c>
    </row>
    <row r="78" spans="2:3" s="58" customFormat="1" ht="21" hidden="1" customHeight="1" x14ac:dyDescent="0.3">
      <c r="C78" s="59"/>
    </row>
    <row r="79" spans="2:3" s="58" customFormat="1" ht="21" hidden="1" customHeight="1" x14ac:dyDescent="0.3">
      <c r="C79" s="59"/>
    </row>
    <row r="80" spans="2:3" s="58" customFormat="1" ht="21" hidden="1" customHeight="1" x14ac:dyDescent="0.3">
      <c r="C80" s="59"/>
    </row>
    <row r="81" spans="3:3" s="58" customFormat="1" ht="21" hidden="1" customHeight="1" x14ac:dyDescent="0.3">
      <c r="C81" s="59"/>
    </row>
    <row r="82" spans="3:3" s="58" customFormat="1" ht="21" hidden="1" customHeight="1" x14ac:dyDescent="0.3">
      <c r="C82" s="59"/>
    </row>
    <row r="83" spans="3:3" s="58" customFormat="1" ht="21" hidden="1" customHeight="1" x14ac:dyDescent="0.3">
      <c r="C83" s="59"/>
    </row>
    <row r="84" spans="3:3" s="58" customFormat="1" hidden="1" x14ac:dyDescent="0.3">
      <c r="C84" s="59"/>
    </row>
    <row r="85" spans="3:3" s="58" customFormat="1" hidden="1" x14ac:dyDescent="0.3">
      <c r="C85" s="59"/>
    </row>
    <row r="86" spans="3:3" s="58" customFormat="1" hidden="1" x14ac:dyDescent="0.3">
      <c r="C86" s="59"/>
    </row>
    <row r="87" spans="3:3" s="58" customFormat="1" hidden="1" x14ac:dyDescent="0.3">
      <c r="C87" s="59"/>
    </row>
    <row r="88" spans="3:3" s="58" customFormat="1" hidden="1" x14ac:dyDescent="0.3">
      <c r="C88" s="59"/>
    </row>
    <row r="89" spans="3:3" s="58" customFormat="1" hidden="1" x14ac:dyDescent="0.3">
      <c r="C89" s="59"/>
    </row>
    <row r="90" spans="3:3" s="58" customFormat="1" hidden="1" x14ac:dyDescent="0.3">
      <c r="C90" s="59"/>
    </row>
    <row r="91" spans="3:3" s="58" customFormat="1" hidden="1" x14ac:dyDescent="0.3">
      <c r="C91" s="59"/>
    </row>
    <row r="92" spans="3:3" s="58" customFormat="1" hidden="1" x14ac:dyDescent="0.3">
      <c r="C92" s="59"/>
    </row>
    <row r="93" spans="3:3" s="58" customFormat="1" hidden="1" x14ac:dyDescent="0.3">
      <c r="C93" s="59"/>
    </row>
    <row r="94" spans="3:3" s="58" customFormat="1" hidden="1" x14ac:dyDescent="0.3">
      <c r="C94" s="59"/>
    </row>
    <row r="95" spans="3:3" s="58" customFormat="1" hidden="1" x14ac:dyDescent="0.3">
      <c r="C95" s="59"/>
    </row>
    <row r="96" spans="3:3" s="58" customFormat="1" hidden="1" x14ac:dyDescent="0.3">
      <c r="C96" s="59"/>
    </row>
    <row r="97" spans="3:3" s="58" customFormat="1" hidden="1" x14ac:dyDescent="0.3">
      <c r="C97" s="59"/>
    </row>
    <row r="98" spans="3:3" s="58" customFormat="1" hidden="1" x14ac:dyDescent="0.3">
      <c r="C98" s="59"/>
    </row>
    <row r="99" spans="3:3" s="58" customFormat="1" hidden="1" x14ac:dyDescent="0.3">
      <c r="C99" s="59"/>
    </row>
    <row r="100" spans="3:3" s="58" customFormat="1" hidden="1" x14ac:dyDescent="0.3">
      <c r="C100" s="59"/>
    </row>
    <row r="101" spans="3:3" s="58" customFormat="1" hidden="1" x14ac:dyDescent="0.3">
      <c r="C101" s="59"/>
    </row>
    <row r="102" spans="3:3" s="58" customFormat="1" hidden="1" x14ac:dyDescent="0.3">
      <c r="C102" s="59"/>
    </row>
    <row r="103" spans="3:3" s="58" customFormat="1" hidden="1" x14ac:dyDescent="0.3">
      <c r="C103" s="59"/>
    </row>
    <row r="104" spans="3:3" s="58" customFormat="1" hidden="1" x14ac:dyDescent="0.3">
      <c r="C104" s="59"/>
    </row>
    <row r="105" spans="3:3" s="58" customFormat="1" hidden="1" x14ac:dyDescent="0.3">
      <c r="C105" s="59"/>
    </row>
    <row r="106" spans="3:3" s="58" customFormat="1" hidden="1" x14ac:dyDescent="0.3">
      <c r="C106" s="59"/>
    </row>
    <row r="107" spans="3:3" s="58" customFormat="1" hidden="1" x14ac:dyDescent="0.3">
      <c r="C107" s="59"/>
    </row>
    <row r="108" spans="3:3" s="58" customFormat="1" hidden="1" x14ac:dyDescent="0.3">
      <c r="C108" s="59"/>
    </row>
    <row r="109" spans="3:3" s="58" customFormat="1" hidden="1" x14ac:dyDescent="0.3">
      <c r="C109" s="59"/>
    </row>
    <row r="110" spans="3:3" s="58" customFormat="1" x14ac:dyDescent="0.3">
      <c r="C110" s="59"/>
    </row>
    <row r="111" spans="3:3" s="58" customFormat="1" x14ac:dyDescent="0.3">
      <c r="C111" s="59"/>
    </row>
    <row r="112" spans="3:3" s="58" customFormat="1" x14ac:dyDescent="0.3">
      <c r="C112" s="59"/>
    </row>
    <row r="113" spans="3:3" s="58" customFormat="1" x14ac:dyDescent="0.3">
      <c r="C113" s="59"/>
    </row>
    <row r="114" spans="3:3" s="58" customFormat="1" x14ac:dyDescent="0.3">
      <c r="C114" s="59"/>
    </row>
    <row r="115" spans="3:3" s="58" customFormat="1" x14ac:dyDescent="0.3">
      <c r="C115" s="59"/>
    </row>
  </sheetData>
  <mergeCells count="5">
    <mergeCell ref="A51:H51"/>
    <mergeCell ref="C1:AH1"/>
    <mergeCell ref="A2:AH2"/>
    <mergeCell ref="A4:AH4"/>
    <mergeCell ref="A31:T31"/>
  </mergeCells>
  <conditionalFormatting sqref="C32">
    <cfRule type="expression" dxfId="9" priority="1">
      <formula>AND(C32&lt;24,C32&lt;&gt;"")</formula>
    </cfRule>
  </conditionalFormatting>
  <dataValidations disablePrompts="1" count="1">
    <dataValidation type="list" allowBlank="1" sqref="AH6:AH29" xr:uid="{1048CE04-4E03-4753-A3DF-B61846735A5F}">
      <formula1>"OK,Alarme,Em investigação"</formula1>
    </dataValidation>
  </dataValidations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806BD-0802-4152-8CE5-81F03E876585}">
  <sheetPr>
    <tabColor theme="6"/>
  </sheetPr>
  <dimension ref="A1:AF116"/>
  <sheetViews>
    <sheetView showGridLines="0" zoomScale="85" zoomScaleNormal="85" workbookViewId="0">
      <pane ySplit="5" topLeftCell="A6" activePane="bottomLeft" state="frozen"/>
      <selection pane="bottomLeft" activeCell="B12" sqref="B12"/>
    </sheetView>
  </sheetViews>
  <sheetFormatPr defaultRowHeight="14.4" x14ac:dyDescent="0.3"/>
  <cols>
    <col min="1" max="1" width="21.33203125" customWidth="1"/>
    <col min="2" max="2" width="18" customWidth="1"/>
    <col min="3" max="3" width="13.6640625" style="28" customWidth="1"/>
    <col min="4" max="4" width="17.33203125" customWidth="1"/>
    <col min="5" max="7" width="17.33203125" hidden="1" customWidth="1"/>
    <col min="8" max="8" width="19.5546875" customWidth="1"/>
    <col min="9" max="11" width="19.5546875" hidden="1" customWidth="1"/>
    <col min="12" max="12" width="18.5546875" customWidth="1"/>
    <col min="13" max="14" width="15.44140625" customWidth="1"/>
    <col min="15" max="15" width="23.6640625" customWidth="1"/>
    <col min="16" max="16" width="19.44140625" customWidth="1"/>
    <col min="17" max="17" width="22.6640625" customWidth="1"/>
    <col min="18" max="18" width="24.33203125" customWidth="1"/>
    <col min="19" max="19" width="22.6640625" customWidth="1"/>
    <col min="20" max="20" width="24" customWidth="1"/>
    <col min="21" max="26" width="18.6640625" customWidth="1"/>
    <col min="27" max="27" width="14" customWidth="1"/>
    <col min="28" max="28" width="17.44140625" customWidth="1"/>
    <col min="29" max="29" width="14" customWidth="1"/>
    <col min="30" max="30" width="20.44140625" customWidth="1"/>
    <col min="31" max="31" width="35" customWidth="1"/>
    <col min="32" max="32" width="14" customWidth="1"/>
  </cols>
  <sheetData>
    <row r="1" spans="1:32" ht="54" customHeight="1" x14ac:dyDescent="0.3">
      <c r="A1" s="38"/>
      <c r="B1" s="38"/>
      <c r="C1" s="152" t="s">
        <v>9</v>
      </c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</row>
    <row r="2" spans="1:32" ht="19.95" customHeight="1" x14ac:dyDescent="0.35">
      <c r="A2" s="144" t="s">
        <v>185</v>
      </c>
      <c r="B2" s="144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</row>
    <row r="4" spans="1:32" x14ac:dyDescent="0.3">
      <c r="A4" s="160" t="s">
        <v>186</v>
      </c>
      <c r="B4" s="160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</row>
    <row r="5" spans="1:32" ht="30" customHeight="1" x14ac:dyDescent="0.3">
      <c r="A5" s="40" t="s">
        <v>187</v>
      </c>
      <c r="B5" s="40" t="s">
        <v>188</v>
      </c>
      <c r="C5" s="40" t="s">
        <v>189</v>
      </c>
      <c r="D5" s="40" t="s">
        <v>275</v>
      </c>
      <c r="E5" s="84" t="s">
        <v>191</v>
      </c>
      <c r="F5" s="84" t="s">
        <v>192</v>
      </c>
      <c r="G5" s="84" t="s">
        <v>193</v>
      </c>
      <c r="H5" s="40" t="s">
        <v>276</v>
      </c>
      <c r="I5" s="84" t="s">
        <v>195</v>
      </c>
      <c r="J5" s="84" t="s">
        <v>196</v>
      </c>
      <c r="K5" s="84" t="s">
        <v>193</v>
      </c>
      <c r="L5" s="40" t="s">
        <v>277</v>
      </c>
      <c r="M5" s="84" t="s">
        <v>198</v>
      </c>
      <c r="N5" s="84" t="s">
        <v>199</v>
      </c>
      <c r="O5" s="63" t="s">
        <v>278</v>
      </c>
      <c r="P5" s="63" t="s">
        <v>201</v>
      </c>
      <c r="Q5" s="63" t="s">
        <v>279</v>
      </c>
      <c r="R5" s="63" t="s">
        <v>280</v>
      </c>
      <c r="S5" s="63" t="s">
        <v>281</v>
      </c>
      <c r="T5" s="63" t="s">
        <v>282</v>
      </c>
      <c r="U5" s="40" t="s">
        <v>283</v>
      </c>
      <c r="V5" s="40" t="s">
        <v>284</v>
      </c>
      <c r="W5" s="40" t="s">
        <v>285</v>
      </c>
      <c r="X5" s="40" t="s">
        <v>286</v>
      </c>
      <c r="Y5" s="40" t="s">
        <v>287</v>
      </c>
      <c r="Z5" s="40" t="s">
        <v>211</v>
      </c>
      <c r="AA5" s="40" t="s">
        <v>212</v>
      </c>
      <c r="AB5" s="40" t="s">
        <v>213</v>
      </c>
      <c r="AC5" s="40" t="s">
        <v>214</v>
      </c>
      <c r="AD5" s="40" t="s">
        <v>215</v>
      </c>
      <c r="AE5" s="40" t="s">
        <v>216</v>
      </c>
      <c r="AF5" s="40" t="s">
        <v>13</v>
      </c>
    </row>
    <row r="6" spans="1:32" x14ac:dyDescent="0.3">
      <c r="A6" s="4">
        <v>46043</v>
      </c>
      <c r="B6" s="4">
        <v>46043.041666666664</v>
      </c>
      <c r="C6" s="56">
        <f t="shared" ref="C6:C30" si="0">IF(B6="","",IF(A6="","",(B6-A6)*24))</f>
        <v>0.99999999994179234</v>
      </c>
      <c r="D6" s="86" cm="1">
        <f t="array" ref="D6">_xll.PITimeDat('Totalizador 24h 21_01'!$D$55,'Totalizador 24h 21_01'!$B$6,"","interpolated")</f>
        <v>127.06098318499622</v>
      </c>
      <c r="E6" s="85" cm="1">
        <f t="array" ref="E6">_xll.PITimeDat("\\AFBRA\BRA\Performance Monitoring\MPM Wells\PE_4|MeterA.Oil.AccMassTotal",A6,"","interpolated")</f>
        <v>375141.75767240475</v>
      </c>
      <c r="F6" s="85" cm="1">
        <f t="array" ref="F6">_xll.PITimeDat("\\AFBRA\BRA\Performance Monitoring\MPM Wells\PE_4|MeterA.Oil.AccMassTotal",B6,"","interpolated")</f>
        <v>375268.82322201791</v>
      </c>
      <c r="G6" s="85">
        <f>F6-E6</f>
        <v>127.06554961315123</v>
      </c>
      <c r="H6" s="50" cm="1">
        <f t="array" ref="H6">_xll.PITimeDat($C$55,B6,"","interpolated")</f>
        <v>0</v>
      </c>
      <c r="I6" s="85" cm="1">
        <f t="array" ref="I6">_xll.PITimeDat("\\AFBRA\BRA\Performance Monitoring\MPM Wells\PE_4|MeterA.gas.AccMassTotal",A6,"","interpolated")</f>
        <v>1428.44831733354</v>
      </c>
      <c r="J6" s="85" cm="1">
        <f t="array" ref="J6">_xll.PITimeDat("\\AFBRA\BRA\Performance Monitoring\MPM Wells\PE_4|MeterA.gas.AccMassTotal",B6,"","interpolated")</f>
        <v>1428.449848403885</v>
      </c>
      <c r="K6" s="85">
        <f>J6-I6</f>
        <v>1.5310703449813445E-3</v>
      </c>
      <c r="L6" s="50" cm="1">
        <f t="array" ref="L6">_xll.PITimeDat($C$65,B6,"","interpolated")</f>
        <v>0.11477227471226087</v>
      </c>
      <c r="M6" s="87">
        <f>D6+H6</f>
        <v>127.06098318499622</v>
      </c>
      <c r="N6" s="87">
        <f>M6+L6</f>
        <v>127.17575545970848</v>
      </c>
      <c r="O6" s="50" cm="1">
        <f t="array" ref="O6">_xll.PITimeDat($C$73,B6,"","interpolated")</f>
        <v>132</v>
      </c>
      <c r="P6" s="50">
        <v>773.41</v>
      </c>
      <c r="Q6" s="50">
        <f>P6/1000*O6</f>
        <v>102.09011999999998</v>
      </c>
      <c r="R6" s="50" cm="1">
        <f t="array" ref="R6">_xll.PITimeDat($C$72,B6,"","interpolated")</f>
        <v>111</v>
      </c>
      <c r="S6" s="50" cm="1">
        <f t="array" ref="S6">_xll.PITimeDat($C$70,B6,"","interpolated")/1000</f>
        <v>28.62</v>
      </c>
      <c r="T6" s="50" cm="1">
        <f t="array" ref="T6">_xll.PITimeDat($C$71,B6,"","interpolated")/1000</f>
        <v>2E-3</v>
      </c>
      <c r="U6" s="57" t="s">
        <v>163</v>
      </c>
      <c r="V6" s="64" t="s">
        <v>163</v>
      </c>
      <c r="W6" s="64" t="s">
        <v>163</v>
      </c>
      <c r="X6" s="64" t="s">
        <v>163</v>
      </c>
      <c r="Y6" s="64" t="s">
        <v>163</v>
      </c>
      <c r="Z6" s="64" t="s">
        <v>163</v>
      </c>
      <c r="AA6" s="64" t="s">
        <v>163</v>
      </c>
      <c r="AB6" s="64" t="s">
        <v>163</v>
      </c>
      <c r="AC6" s="64" t="s">
        <v>163</v>
      </c>
      <c r="AD6" s="72" t="s">
        <v>163</v>
      </c>
      <c r="AE6" s="2"/>
      <c r="AF6" s="42" t="s">
        <v>288</v>
      </c>
    </row>
    <row r="7" spans="1:32" x14ac:dyDescent="0.3">
      <c r="A7" s="4">
        <v>46043.041666666664</v>
      </c>
      <c r="B7" s="4">
        <v>46043.083333333336</v>
      </c>
      <c r="C7" s="56">
        <f t="shared" si="0"/>
        <v>1.0000000001164153</v>
      </c>
      <c r="D7" s="86" cm="1">
        <f t="array" ref="D7">_xll.PITimeDat('Totalizador 24h 21_01'!$D$55,'Totalizador 24h 21_01'!$B$7,"","interpolated")</f>
        <v>127.09512991309866</v>
      </c>
      <c r="E7" s="85" cm="1">
        <f t="array" ref="E7">_xll.PITimeDat("\\AFBRA\BRA\Performance Monitoring\MPM Wells\PE_4|MeterA.Oil.AccMassTotal",A7,"","interpolated")</f>
        <v>375268.82322201791</v>
      </c>
      <c r="F7" s="85" cm="1">
        <f t="array" ref="F7">_xll.PITimeDat("\\AFBRA\BRA\Performance Monitoring\MPM Wells\PE_4|MeterA.Oil.AccMassTotal",B7,"","interpolated")</f>
        <v>375395.97953246243</v>
      </c>
      <c r="G7" s="85">
        <f t="shared" ref="G7:G29" si="1">F7-E7</f>
        <v>127.15631044452311</v>
      </c>
      <c r="H7" s="50" cm="1">
        <f t="array" ref="H7">_xll.PITimeDat($C$55,B7,"","interpolated")</f>
        <v>0</v>
      </c>
      <c r="I7" s="85" cm="1">
        <f t="array" ref="I7">_xll.PITimeDat("\\AFBRA\BRA\Performance Monitoring\MPM Wells\PE_4|MeterA.gas.AccMassTotal",A7,"","interpolated")</f>
        <v>1428.449848403885</v>
      </c>
      <c r="J7" s="85" cm="1">
        <f t="array" ref="J7">_xll.PITimeDat("\\AFBRA\BRA\Performance Monitoring\MPM Wells\PE_4|MeterA.gas.AccMassTotal",B7,"","interpolated")</f>
        <v>1428.45137947423</v>
      </c>
      <c r="K7" s="85">
        <f t="shared" ref="K7:K30" si="2">J7-I7</f>
        <v>1.5310703449813445E-3</v>
      </c>
      <c r="L7" s="50" cm="1">
        <f t="array" ref="L7">_xll.PITimeDat($C$65,B7,"","interpolated")</f>
        <v>0.11482345618669061</v>
      </c>
      <c r="M7" s="87">
        <f>D7+H7</f>
        <v>127.09512991309866</v>
      </c>
      <c r="N7" s="87">
        <f t="shared" ref="N7:N30" si="3">M7+L7</f>
        <v>127.20995336928534</v>
      </c>
      <c r="O7" s="50" cm="1">
        <f t="array" ref="O7">_xll.PITimeDat($C$73,B7,"","interpolated")</f>
        <v>132</v>
      </c>
      <c r="P7" s="50">
        <v>773.41</v>
      </c>
      <c r="Q7" s="50">
        <f t="shared" ref="Q7:Q22" si="4">P7/1000*O7</f>
        <v>102.09011999999998</v>
      </c>
      <c r="R7" s="50" cm="1">
        <f t="array" ref="R7">_xll.PITimeDat($C$72,B7,"","interpolated")</f>
        <v>111</v>
      </c>
      <c r="S7" s="50" cm="1">
        <f t="array" ref="S7">_xll.PITimeDat($C$70,B7,"","interpolated")/1000</f>
        <v>29.076000000000001</v>
      </c>
      <c r="T7" s="50" cm="1">
        <f t="array" ref="T7">_xll.PITimeDat($C$71,B7,"","interpolated")/1000</f>
        <v>2E-3</v>
      </c>
      <c r="U7" s="57">
        <f t="shared" ref="U7:U30" si="5">IF(D7="","",D7-D6)</f>
        <v>3.4146728102442125E-2</v>
      </c>
      <c r="V7" s="57">
        <f t="shared" ref="V7:V30" si="6">IF(H7="","",H7-H6)</f>
        <v>0</v>
      </c>
      <c r="W7" s="57">
        <f t="shared" ref="W7:W30" si="7">IF(L7="","",L7-L6)</f>
        <v>5.1181474429742857E-5</v>
      </c>
      <c r="X7" s="57">
        <f t="shared" ref="X7:X30" si="8">IF(OR(U7="",V7=""),"",U7+V7)</f>
        <v>3.4146728102442125E-2</v>
      </c>
      <c r="Y7" s="57">
        <f t="shared" ref="Y7:Y30" si="9">IF(OR(X7="",W7=""),"",X7+W7)</f>
        <v>3.4197909576871868E-2</v>
      </c>
      <c r="Z7" s="57">
        <f t="shared" ref="Z7:Z30" si="10">IF(Q7="","",Q7-Q6)</f>
        <v>0</v>
      </c>
      <c r="AA7" s="57">
        <f t="shared" ref="AA7:AB30" si="11">IF(S7="","",S7-S6)</f>
        <v>0.45599999999999952</v>
      </c>
      <c r="AB7" s="57">
        <f t="shared" si="11"/>
        <v>0</v>
      </c>
      <c r="AC7" s="57">
        <f>IF(OR(Z7="",AA7=""),"",Z7+AA7)</f>
        <v>0.45599999999999952</v>
      </c>
      <c r="AD7" s="62">
        <f t="shared" ref="AD7" si="12">IF(OR(AC7="",AB7=""),"",AC7+AB7)</f>
        <v>0.45599999999999952</v>
      </c>
      <c r="AE7" s="42"/>
      <c r="AF7" s="42" t="s">
        <v>288</v>
      </c>
    </row>
    <row r="8" spans="1:32" x14ac:dyDescent="0.3">
      <c r="A8" s="4">
        <v>46043.08333321759</v>
      </c>
      <c r="B8" s="4">
        <v>46043.125000057873</v>
      </c>
      <c r="C8" s="56">
        <f t="shared" si="0"/>
        <v>1.0000041667954065</v>
      </c>
      <c r="D8" s="86" cm="1">
        <f t="array" ref="D8">_xll.PITimeDat('Totalizador 24h 21_01'!$D$55,'Totalizador 24h 21_01'!$B$8,"","interpolated")</f>
        <v>127.08597811351368</v>
      </c>
      <c r="E8" s="85" cm="1">
        <f t="array" ref="E8">_xll.PITimeDat("\\AFBRA\BRA\Performance Monitoring\MPM Wells\PE_4|MeterA.Oil.AccMassTotal",A8,"","interpolated")</f>
        <v>375395.97918627248</v>
      </c>
      <c r="F8" s="85" cm="1">
        <f t="array" ref="F8">_xll.PITimeDat("\\AFBRA\BRA\Performance Monitoring\MPM Wells\PE_4|MeterA.Oil.AccMassTotal",B8,"","interpolated")</f>
        <v>375523.02819599659</v>
      </c>
      <c r="G8" s="85">
        <f t="shared" si="1"/>
        <v>127.04900972411269</v>
      </c>
      <c r="H8" s="50" cm="1">
        <f t="array" ref="H8">_xll.PITimeDat($C$55,B8,"","interpolated")</f>
        <v>0</v>
      </c>
      <c r="I8" s="85" cm="1">
        <f t="array" ref="I8">_xll.PITimeDat("\\AFBRA\BRA\Performance Monitoring\MPM Wells\PE_4|MeterA.gas.AccMassTotal",A8,"","interpolated")</f>
        <v>1428.4513794699794</v>
      </c>
      <c r="J8" s="85" cm="1">
        <f t="array" ref="J8">_xll.PITimeDat("\\AFBRA\BRA\Performance Monitoring\MPM Wells\PE_4|MeterA.gas.AccMassTotal",B8,"","interpolated")</f>
        <v>1428.4529105467036</v>
      </c>
      <c r="K8" s="85">
        <f t="shared" si="2"/>
        <v>1.5310767241771828E-3</v>
      </c>
      <c r="L8" s="50" cm="1">
        <f t="array" ref="L8">_xll.PITimeDat($C$65,B8,"","interpolated")</f>
        <v>0.1148300751036463</v>
      </c>
      <c r="M8" s="87">
        <f t="shared" ref="M8:M30" si="13">D8+H8</f>
        <v>127.08597811351368</v>
      </c>
      <c r="N8" s="87">
        <f t="shared" si="3"/>
        <v>127.20080818861732</v>
      </c>
      <c r="O8" s="50" cm="1">
        <f t="array" ref="O8">_xll.PITimeDat($C$73,B8,"","interpolated")</f>
        <v>133</v>
      </c>
      <c r="P8" s="50">
        <v>773.41</v>
      </c>
      <c r="Q8" s="50">
        <f t="shared" si="4"/>
        <v>102.86353</v>
      </c>
      <c r="R8" s="50" cm="1">
        <f t="array" ref="R8">_xll.PITimeDat($C$72,B8,"","interpolated")</f>
        <v>111</v>
      </c>
      <c r="S8" s="50" cm="1">
        <f t="array" ref="S8">_xll.PITimeDat($C$70,B8,"","interpolated")/1000</f>
        <v>28.193000000000001</v>
      </c>
      <c r="T8" s="50" cm="1">
        <f t="array" ref="T8">_xll.PITimeDat($C$71,B8,"","interpolated")/1000</f>
        <v>2E-3</v>
      </c>
      <c r="U8" s="57">
        <f t="shared" si="5"/>
        <v>-9.1517995849841327E-3</v>
      </c>
      <c r="V8" s="57">
        <f t="shared" si="6"/>
        <v>0</v>
      </c>
      <c r="W8" s="57">
        <f t="shared" si="7"/>
        <v>6.6189169556918337E-6</v>
      </c>
      <c r="X8" s="57">
        <f t="shared" si="8"/>
        <v>-9.1517995849841327E-3</v>
      </c>
      <c r="Y8" s="57">
        <f t="shared" si="9"/>
        <v>-9.1451806680284409E-3</v>
      </c>
      <c r="Z8" s="57">
        <f t="shared" si="10"/>
        <v>0.77341000000001259</v>
      </c>
      <c r="AA8" s="57">
        <f t="shared" si="11"/>
        <v>-0.88299999999999912</v>
      </c>
      <c r="AB8" s="57">
        <f t="shared" si="11"/>
        <v>0</v>
      </c>
      <c r="AC8" s="57">
        <f t="shared" ref="AC8:AC30" si="14">IF(OR(Z8="",AA8=""),"",Z8+AA8)</f>
        <v>-0.10958999999998653</v>
      </c>
      <c r="AD8" s="62">
        <f>IF(OR(AC8="",AB8=""),"",AC8+AB8)</f>
        <v>-0.10958999999998653</v>
      </c>
      <c r="AE8" s="42"/>
      <c r="AF8" s="42" t="s">
        <v>288</v>
      </c>
    </row>
    <row r="9" spans="1:32" x14ac:dyDescent="0.3">
      <c r="A9" s="4">
        <v>46043.124999826388</v>
      </c>
      <c r="B9" s="4">
        <v>46043.16666678241</v>
      </c>
      <c r="C9" s="56">
        <f t="shared" si="0"/>
        <v>1.0000069445231929</v>
      </c>
      <c r="D9" s="86" cm="1">
        <f t="array" ref="D9">_xll.PITimeDat('Totalizador 24h 21_01'!$D$55,'Totalizador 24h 21_01'!$B$9,"","interpolated")</f>
        <v>127.08872586991355</v>
      </c>
      <c r="E9" s="85" cm="1">
        <f t="array" ref="E9">_xll.PITimeDat("\\AFBRA\BRA\Performance Monitoring\MPM Wells\PE_4|MeterA.Oil.AccMassTotal",A9,"","interpolated")</f>
        <v>375523.02750003629</v>
      </c>
      <c r="F9" s="85" cm="1">
        <f t="array" ref="F9">_xll.PITimeDat("\\AFBRA\BRA\Performance Monitoring\MPM Wells\PE_4|MeterA.Oil.AccMassTotal",B9,"","interpolated")</f>
        <v>375650.10544929182</v>
      </c>
      <c r="G9" s="85">
        <f t="shared" si="1"/>
        <v>127.07794925553026</v>
      </c>
      <c r="H9" s="50" cm="1">
        <f t="array" ref="H9">_xll.PITimeDat($C$55,B9,"","interpolated")</f>
        <v>0</v>
      </c>
      <c r="I9" s="85" cm="1">
        <f t="array" ref="I9">_xll.PITimeDat("\\AFBRA\BRA\Performance Monitoring\MPM Wells\PE_4|MeterA.gas.AccMassTotal",A9,"","interpolated")</f>
        <v>1428.4529105381957</v>
      </c>
      <c r="J9" s="85" cm="1">
        <f t="array" ref="J9">_xll.PITimeDat("\\AFBRA\BRA\Performance Monitoring\MPM Wells\PE_4|MeterA.gas.AccMassTotal",B9,"","interpolated")</f>
        <v>1428.4544416191773</v>
      </c>
      <c r="K9" s="85">
        <f t="shared" si="2"/>
        <v>1.5310809815218818E-3</v>
      </c>
      <c r="L9" s="50" cm="1">
        <f t="array" ref="L9">_xll.PITimeDat($C$65,B9,"","interpolated")</f>
        <v>0.11484849023545422</v>
      </c>
      <c r="M9" s="87">
        <f t="shared" si="13"/>
        <v>127.08872586991355</v>
      </c>
      <c r="N9" s="87">
        <f t="shared" si="3"/>
        <v>127.20357436014901</v>
      </c>
      <c r="O9" s="50" cm="1">
        <f t="array" ref="O9">_xll.PITimeDat($C$73,B9,"","interpolated")</f>
        <v>132</v>
      </c>
      <c r="P9" s="50">
        <v>773.41</v>
      </c>
      <c r="Q9" s="50">
        <f t="shared" si="4"/>
        <v>102.09011999999998</v>
      </c>
      <c r="R9" s="50" cm="1">
        <f t="array" ref="R9">_xll.PITimeDat($C$72,B9,"","interpolated")</f>
        <v>110</v>
      </c>
      <c r="S9" s="50" cm="1">
        <f t="array" ref="S9">_xll.PITimeDat($C$70,B9,"","interpolated")/1000</f>
        <v>28.684999999999999</v>
      </c>
      <c r="T9" s="50" cm="1">
        <f t="array" ref="T9">_xll.PITimeDat($C$71,B9,"","interpolated")/1000</f>
        <v>2E-3</v>
      </c>
      <c r="U9" s="57">
        <f t="shared" si="5"/>
        <v>2.7477563998701271E-3</v>
      </c>
      <c r="V9" s="57">
        <f t="shared" si="6"/>
        <v>0</v>
      </c>
      <c r="W9" s="57">
        <f t="shared" si="7"/>
        <v>1.8415131807919538E-5</v>
      </c>
      <c r="X9" s="57">
        <f t="shared" si="8"/>
        <v>2.7477563998701271E-3</v>
      </c>
      <c r="Y9" s="57">
        <f t="shared" si="9"/>
        <v>2.7661715316780466E-3</v>
      </c>
      <c r="Z9" s="57">
        <f t="shared" si="10"/>
        <v>-0.77341000000001259</v>
      </c>
      <c r="AA9" s="57">
        <f t="shared" si="11"/>
        <v>0.49199999999999733</v>
      </c>
      <c r="AB9" s="57">
        <f t="shared" si="11"/>
        <v>0</v>
      </c>
      <c r="AC9" s="57">
        <f t="shared" si="14"/>
        <v>-0.28141000000001526</v>
      </c>
      <c r="AD9" s="62">
        <f t="shared" ref="AD9:AD30" si="15">IF(OR(AC9="",AB9=""),"",AC9+AB9)</f>
        <v>-0.28141000000001526</v>
      </c>
      <c r="AE9" s="42"/>
      <c r="AF9" s="42" t="s">
        <v>288</v>
      </c>
    </row>
    <row r="10" spans="1:32" x14ac:dyDescent="0.3">
      <c r="A10" s="4">
        <v>46043.166666435187</v>
      </c>
      <c r="B10" s="4">
        <v>46043.208333506947</v>
      </c>
      <c r="C10" s="56">
        <f t="shared" si="0"/>
        <v>1.0000097222509794</v>
      </c>
      <c r="D10" s="86" cm="1">
        <f t="array" ref="D10">_xll.PITimeDat('Totalizador 24h 21_01'!$D$55,'Totalizador 24h 21_01'!$B$10,"","interpolated")</f>
        <v>244.31564535392928</v>
      </c>
      <c r="E10" s="85" cm="1">
        <f t="array" ref="E10">_xll.PITimeDat("\\AFBRA\BRA\Performance Monitoring\MPM Wells\PE_4|MeterA.Oil.AccMassTotal",A10,"","interpolated")</f>
        <v>375650.10434998688</v>
      </c>
      <c r="F10" s="85" cm="1">
        <f t="array" ref="F10">_xll.PITimeDat("\\AFBRA\BRA\Performance Monitoring\MPM Wells\PE_4|MeterA.Oil.AccMassTotal",B10,"","interpolated")</f>
        <v>375895.25066033844</v>
      </c>
      <c r="G10" s="85">
        <f t="shared" si="1"/>
        <v>245.14631035155617</v>
      </c>
      <c r="H10" s="50" cm="1">
        <f t="array" ref="H10">_xll.PITimeDat($C$55,B10,"","interpolated")</f>
        <v>0</v>
      </c>
      <c r="I10" s="85" cm="1">
        <f t="array" ref="I10">_xll.PITimeDat("\\AFBRA\BRA\Performance Monitoring\MPM Wells\PE_4|MeterA.gas.AccMassTotal",A10,"","interpolated")</f>
        <v>1428.4544416064186</v>
      </c>
      <c r="J10" s="85" cm="1">
        <f t="array" ref="J10">_xll.PITimeDat("\\AFBRA\BRA\Performance Monitoring\MPM Wells\PE_4|MeterA.gas.AccMassTotal",B10,"","interpolated")</f>
        <v>1428.4559726916507</v>
      </c>
      <c r="K10" s="85">
        <f t="shared" si="2"/>
        <v>1.5310852320453705E-3</v>
      </c>
      <c r="L10" s="50" cm="1">
        <f t="array" ref="L10">_xll.PITimeDat($C$65,B10,"","interpolated")</f>
        <v>0.22216687938096391</v>
      </c>
      <c r="M10" s="87">
        <f t="shared" si="13"/>
        <v>244.31564535392928</v>
      </c>
      <c r="N10" s="87">
        <f>M10+L10</f>
        <v>244.53781223331023</v>
      </c>
      <c r="O10" s="50" cm="1">
        <f t="array" ref="O10">_xll.PITimeDat($C$73,B10,"","interpolated")</f>
        <v>259</v>
      </c>
      <c r="P10" s="50">
        <v>773.41</v>
      </c>
      <c r="Q10" s="50">
        <f t="shared" si="4"/>
        <v>200.31318999999999</v>
      </c>
      <c r="R10" s="50" cm="1">
        <f t="array" ref="R10">_xll.PITimeDat($C$72,B10,"","interpolated")</f>
        <v>217</v>
      </c>
      <c r="S10" s="50" cm="1">
        <f t="array" ref="S10">_xll.PITimeDat($C$70,B10,"","interpolated")/1000</f>
        <v>52.529000000000003</v>
      </c>
      <c r="T10" s="50" cm="1">
        <f t="array" ref="T10">_xll.PITimeDat($C$71,B10,"","interpolated")/1000</f>
        <v>2E-3</v>
      </c>
      <c r="U10" s="57">
        <f t="shared" si="5"/>
        <v>117.22691948401574</v>
      </c>
      <c r="V10" s="57">
        <f t="shared" si="6"/>
        <v>0</v>
      </c>
      <c r="W10" s="57">
        <f t="shared" si="7"/>
        <v>0.10731838914550969</v>
      </c>
      <c r="X10" s="57">
        <f t="shared" si="8"/>
        <v>117.22691948401574</v>
      </c>
      <c r="Y10" s="57">
        <f t="shared" si="9"/>
        <v>117.33423787316124</v>
      </c>
      <c r="Z10" s="57">
        <f t="shared" si="10"/>
        <v>98.223070000000007</v>
      </c>
      <c r="AA10" s="57">
        <f t="shared" si="11"/>
        <v>23.844000000000005</v>
      </c>
      <c r="AB10" s="57">
        <f t="shared" si="11"/>
        <v>0</v>
      </c>
      <c r="AC10" s="57">
        <f t="shared" si="14"/>
        <v>122.06707000000002</v>
      </c>
      <c r="AD10" s="62">
        <f t="shared" si="15"/>
        <v>122.06707000000002</v>
      </c>
      <c r="AE10" s="42"/>
      <c r="AF10" s="42" t="s">
        <v>288</v>
      </c>
    </row>
    <row r="11" spans="1:32" x14ac:dyDescent="0.3">
      <c r="A11" s="4">
        <v>46043.208333043978</v>
      </c>
      <c r="B11" s="4">
        <v>46043.250000231485</v>
      </c>
      <c r="C11" s="56">
        <f t="shared" si="0"/>
        <v>1.0000125001533888</v>
      </c>
      <c r="D11" s="86" cm="1">
        <f t="array" ref="D11">_xll.PITimeDat('Totalizador 24h 21_01'!$D$55,'Totalizador 24h 21_01'!$B$11,"","interpolated")</f>
        <v>422.27180777882779</v>
      </c>
      <c r="E11" s="85" cm="1">
        <f t="array" ref="E11">_xll.PITimeDat("\\AFBRA\BRA\Performance Monitoring\MPM Wells\PE_4|MeterA.Oil.AccMassTotal",A11,"","interpolated")</f>
        <v>375895.24646357313</v>
      </c>
      <c r="F11" s="85" cm="1">
        <f t="array" ref="F11">_xll.PITimeDat("\\AFBRA\BRA\Performance Monitoring\MPM Wells\PE_4|MeterA.Oil.AccMassTotal",B11,"","interpolated")</f>
        <v>376318.02732497052</v>
      </c>
      <c r="G11" s="85">
        <f t="shared" si="1"/>
        <v>422.78086139739025</v>
      </c>
      <c r="H11" s="50" cm="1">
        <f t="array" ref="H11">_xll.PITimeDat($C$55,B11,"","interpolated")</f>
        <v>0</v>
      </c>
      <c r="I11" s="85" cm="1">
        <f t="array" ref="I11">_xll.PITimeDat("\\AFBRA\BRA\Performance Monitoring\MPM Wells\PE_4|MeterA.gas.AccMassTotal",A11,"","interpolated")</f>
        <v>1428.4559726746352</v>
      </c>
      <c r="J11" s="85" cm="1">
        <f t="array" ref="J11">_xll.PITimeDat("\\AFBRA\BRA\Performance Monitoring\MPM Wells\PE_4|MeterA.gas.AccMassTotal",B11,"","interpolated")</f>
        <v>1428.4575037641177</v>
      </c>
      <c r="K11" s="85">
        <f t="shared" si="2"/>
        <v>1.5310894825688592E-3</v>
      </c>
      <c r="L11" s="50" cm="1">
        <f t="array" ref="L11">_xll.PITimeDat($C$65,B11,"","interpolated")</f>
        <v>0.37468292643367596</v>
      </c>
      <c r="M11" s="87">
        <f t="shared" si="13"/>
        <v>422.27180777882779</v>
      </c>
      <c r="N11" s="87">
        <f t="shared" si="3"/>
        <v>422.64649070526144</v>
      </c>
      <c r="O11" s="50" cm="1">
        <f t="array" ref="O11">_xll.PITimeDat($C$73,B11,"","interpolated")</f>
        <v>425</v>
      </c>
      <c r="P11" s="50">
        <v>773.41</v>
      </c>
      <c r="Q11" s="50">
        <f t="shared" si="4"/>
        <v>328.69924999999995</v>
      </c>
      <c r="R11" s="50" cm="1">
        <f t="array" ref="R11">_xll.PITimeDat($C$72,B11,"","interpolated")</f>
        <v>353</v>
      </c>
      <c r="S11" s="50" cm="1">
        <f t="array" ref="S11">_xll.PITimeDat($C$70,B11,"","interpolated")/1000</f>
        <v>93.96</v>
      </c>
      <c r="T11" s="50" cm="1">
        <f t="array" ref="T11">_xll.PITimeDat($C$71,B11,"","interpolated")/1000</f>
        <v>2E-3</v>
      </c>
      <c r="U11" s="57">
        <f t="shared" si="5"/>
        <v>177.95616242489851</v>
      </c>
      <c r="V11" s="57">
        <f t="shared" si="6"/>
        <v>0</v>
      </c>
      <c r="W11" s="57">
        <f t="shared" si="7"/>
        <v>0.15251604705271204</v>
      </c>
      <c r="X11" s="57">
        <f t="shared" si="8"/>
        <v>177.95616242489851</v>
      </c>
      <c r="Y11" s="57">
        <f t="shared" si="9"/>
        <v>178.10867847195121</v>
      </c>
      <c r="Z11" s="57">
        <f t="shared" si="10"/>
        <v>128.38605999999996</v>
      </c>
      <c r="AA11" s="57">
        <f t="shared" si="11"/>
        <v>41.43099999999999</v>
      </c>
      <c r="AB11" s="57">
        <f t="shared" si="11"/>
        <v>0</v>
      </c>
      <c r="AC11" s="57">
        <f t="shared" si="14"/>
        <v>169.81705999999994</v>
      </c>
      <c r="AD11" s="62">
        <f t="shared" si="15"/>
        <v>169.81705999999994</v>
      </c>
      <c r="AE11" s="42"/>
      <c r="AF11" s="42" t="s">
        <v>288</v>
      </c>
    </row>
    <row r="12" spans="1:32" x14ac:dyDescent="0.3">
      <c r="A12" s="4">
        <v>46043.249999652777</v>
      </c>
      <c r="B12" s="4">
        <v>46043.291666956022</v>
      </c>
      <c r="C12" s="56">
        <f t="shared" si="0"/>
        <v>1.0000152778811753</v>
      </c>
      <c r="D12" s="86" cm="1">
        <f t="array" ref="D12">_xll.PITimeDat('Totalizador 24h 21_01'!$D$55,'Totalizador 24h 21_01'!$B$12,"","interpolated")</f>
        <v>446.30278154426651</v>
      </c>
      <c r="E12" s="85" cm="1">
        <f t="array" ref="E12">_xll.PITimeDat("\\AFBRA\BRA\Performance Monitoring\MPM Wells\PE_4|MeterA.Oil.AccMassTotal",A12,"","interpolated")</f>
        <v>376318.02136899205</v>
      </c>
      <c r="F12" s="85" cm="1">
        <f t="array" ref="F12">_xll.PITimeDat("\\AFBRA\BRA\Performance Monitoring\MPM Wells\PE_4|MeterA.Oil.AccMassTotal",B12,"","interpolated")</f>
        <v>376764.38627293822</v>
      </c>
      <c r="G12" s="85">
        <f t="shared" si="1"/>
        <v>446.36490394617431</v>
      </c>
      <c r="H12" s="50" cm="1">
        <f t="array" ref="H12">_xll.PITimeDat($C$55,B12,"","interpolated")</f>
        <v>2.4645125820780063</v>
      </c>
      <c r="I12" s="85" cm="1">
        <f t="array" ref="I12">_xll.PITimeDat("\\AFBRA\BRA\Performance Monitoring\MPM Wells\PE_4|MeterA.gas.AccMassTotal",A12,"","interpolated")</f>
        <v>1428.4575037428517</v>
      </c>
      <c r="J12" s="85" cm="1">
        <f t="array" ref="J12">_xll.PITimeDat("\\AFBRA\BRA\Performance Monitoring\MPM Wells\PE_4|MeterA.gas.AccMassTotal",B12,"","interpolated")</f>
        <v>1428.4590348365914</v>
      </c>
      <c r="K12" s="85">
        <f t="shared" si="2"/>
        <v>1.5310937396861846E-3</v>
      </c>
      <c r="L12" s="50" cm="1">
        <f t="array" ref="L12">_xll.PITimeDat($C$65,B12,"","interpolated")</f>
        <v>0.38939323527831843</v>
      </c>
      <c r="M12" s="87">
        <f t="shared" si="13"/>
        <v>448.7672941263445</v>
      </c>
      <c r="N12" s="87">
        <f t="shared" si="3"/>
        <v>449.1566873616228</v>
      </c>
      <c r="O12" s="50" cm="1">
        <f t="array" ref="O12">_xll.PITimeDat($C$73,B12,"","interpolated")</f>
        <v>441</v>
      </c>
      <c r="P12" s="50">
        <v>773.41</v>
      </c>
      <c r="Q12" s="50">
        <f t="shared" si="4"/>
        <v>341.07380999999998</v>
      </c>
      <c r="R12" s="50" cm="1">
        <f t="array" ref="R12">_xll.PITimeDat($C$72,B12,"","interpolated")</f>
        <v>365</v>
      </c>
      <c r="S12" s="50" cm="1">
        <f t="array" ref="S12">_xll.PITimeDat($C$70,B12,"","interpolated")/1000</f>
        <v>98.698999999999998</v>
      </c>
      <c r="T12" s="50" cm="1">
        <f t="array" ref="T12">_xll.PITimeDat($C$71,B12,"","interpolated")/1000</f>
        <v>1E-3</v>
      </c>
      <c r="U12" s="57">
        <f t="shared" si="5"/>
        <v>24.030973765438716</v>
      </c>
      <c r="V12" s="57">
        <f t="shared" si="6"/>
        <v>2.4645125820780063</v>
      </c>
      <c r="W12" s="57">
        <f t="shared" si="7"/>
        <v>1.4710308844642472E-2</v>
      </c>
      <c r="X12" s="57">
        <f t="shared" si="8"/>
        <v>26.495486347516724</v>
      </c>
      <c r="Y12" s="57">
        <f t="shared" si="9"/>
        <v>26.510196656361366</v>
      </c>
      <c r="Z12" s="57">
        <f t="shared" si="10"/>
        <v>12.374560000000031</v>
      </c>
      <c r="AA12" s="57">
        <f t="shared" si="11"/>
        <v>4.7390000000000043</v>
      </c>
      <c r="AB12" s="57">
        <f t="shared" si="11"/>
        <v>-1E-3</v>
      </c>
      <c r="AC12" s="57">
        <f t="shared" si="14"/>
        <v>17.113560000000035</v>
      </c>
      <c r="AD12" s="62">
        <f t="shared" si="15"/>
        <v>17.112560000000034</v>
      </c>
      <c r="AE12" s="42"/>
      <c r="AF12" s="42" t="s">
        <v>288</v>
      </c>
    </row>
    <row r="13" spans="1:32" x14ac:dyDescent="0.3">
      <c r="A13" s="4">
        <v>46043.291666261575</v>
      </c>
      <c r="B13" s="4">
        <v>46043.333333680559</v>
      </c>
      <c r="C13" s="56">
        <f t="shared" si="0"/>
        <v>1.0000180556089617</v>
      </c>
      <c r="D13" s="86" cm="1">
        <f t="array" ref="D13">_xll.PITimeDat('Totalizador 24h 21_01'!$D$55,'Totalizador 24h 21_01'!$B$13,"","interpolated")</f>
        <v>458.30839740151208</v>
      </c>
      <c r="E13" s="85" cm="1">
        <f t="array" ref="E13">_xll.PITimeDat("\\AFBRA\BRA\Performance Monitoring\MPM Wells\PE_4|MeterA.Oil.AccMassTotal",A13,"","interpolated")</f>
        <v>376764.37869279581</v>
      </c>
      <c r="F13" s="85" cm="1">
        <f t="array" ref="F13">_xll.PITimeDat("\\AFBRA\BRA\Performance Monitoring\MPM Wells\PE_4|MeterA.Oil.AccMassTotal",B13,"","interpolated")</f>
        <v>377222.69355342689</v>
      </c>
      <c r="G13" s="85">
        <f t="shared" si="1"/>
        <v>458.3148606310715</v>
      </c>
      <c r="H13" s="50" cm="1">
        <f t="array" ref="H13">_xll.PITimeDat($C$55,B13,"","interpolated")</f>
        <v>4.9312877433439226</v>
      </c>
      <c r="I13" s="85" cm="1">
        <f t="array" ref="I13">_xll.PITimeDat("\\AFBRA\BRA\Performance Monitoring\MPM Wells\PE_4|MeterA.gas.AccMassTotal",A13,"","interpolated")</f>
        <v>1428.4590348110746</v>
      </c>
      <c r="J13" s="85" cm="1">
        <f t="array" ref="J13">_xll.PITimeDat("\\AFBRA\BRA\Performance Monitoring\MPM Wells\PE_4|MeterA.gas.AccMassTotal",B13,"","interpolated")</f>
        <v>1428.4605659090651</v>
      </c>
      <c r="K13" s="85">
        <f t="shared" si="2"/>
        <v>1.531097990437047E-3</v>
      </c>
      <c r="L13" s="50" cm="1">
        <f t="array" ref="L13">_xll.PITimeDat($C$65,B13,"","interpolated")</f>
        <v>0.3963501888235354</v>
      </c>
      <c r="M13" s="87">
        <f t="shared" si="13"/>
        <v>463.23968514485603</v>
      </c>
      <c r="N13" s="87">
        <f t="shared" si="3"/>
        <v>463.63603533367956</v>
      </c>
      <c r="O13" s="50" cm="1">
        <f t="array" ref="O13">_xll.PITimeDat($C$73,B13,"","interpolated")</f>
        <v>451</v>
      </c>
      <c r="P13" s="50">
        <v>773.41</v>
      </c>
      <c r="Q13" s="50">
        <f t="shared" si="4"/>
        <v>348.80790999999999</v>
      </c>
      <c r="R13" s="50" cm="1">
        <f t="array" ref="R13">_xll.PITimeDat($C$72,B13,"","interpolated")</f>
        <v>372</v>
      </c>
      <c r="S13" s="50" cm="1">
        <f t="array" ref="S13">_xll.PITimeDat($C$70,B13,"","interpolated")/1000</f>
        <v>101.126</v>
      </c>
      <c r="T13" s="50" cm="1">
        <f t="array" ref="T13">_xll.PITimeDat($C$71,B13,"","interpolated")/1000</f>
        <v>1E-3</v>
      </c>
      <c r="U13" s="57">
        <f t="shared" si="5"/>
        <v>12.005615857245573</v>
      </c>
      <c r="V13" s="57">
        <f t="shared" si="6"/>
        <v>2.4667751612659163</v>
      </c>
      <c r="W13" s="57">
        <f t="shared" si="7"/>
        <v>6.9569535452169706E-3</v>
      </c>
      <c r="X13" s="57">
        <f t="shared" si="8"/>
        <v>14.472391018511489</v>
      </c>
      <c r="Y13" s="57">
        <f t="shared" si="9"/>
        <v>14.479347972056706</v>
      </c>
      <c r="Z13" s="57">
        <f t="shared" si="10"/>
        <v>7.7341000000000122</v>
      </c>
      <c r="AA13" s="57">
        <f t="shared" si="11"/>
        <v>2.4270000000000067</v>
      </c>
      <c r="AB13" s="57">
        <f t="shared" si="11"/>
        <v>0</v>
      </c>
      <c r="AC13" s="57">
        <f t="shared" si="14"/>
        <v>10.161100000000019</v>
      </c>
      <c r="AD13" s="62">
        <f t="shared" si="15"/>
        <v>10.161100000000019</v>
      </c>
      <c r="AE13" s="42"/>
      <c r="AF13" s="42" t="s">
        <v>288</v>
      </c>
    </row>
    <row r="14" spans="1:32" x14ac:dyDescent="0.3">
      <c r="A14" s="4">
        <v>46043.333332870374</v>
      </c>
      <c r="B14" s="4">
        <v>46043.375000405096</v>
      </c>
      <c r="C14" s="56">
        <f t="shared" si="0"/>
        <v>1.0000208333367482</v>
      </c>
      <c r="D14" s="86" cm="1">
        <f t="array" ref="D14">_xll.PITimeDat('Totalizador 24h 21_01'!$D$55,'Totalizador 24h 21_01'!$B$14,"","interpolated")</f>
        <v>455.67098277673534</v>
      </c>
      <c r="E14" s="85" cm="1">
        <f t="array" ref="E14">_xll.PITimeDat("\\AFBRA\BRA\Performance Monitoring\MPM Wells\PE_4|MeterA.Oil.AccMassTotal",A14,"","interpolated")</f>
        <v>377222.68474683055</v>
      </c>
      <c r="F14" s="85" cm="1">
        <f t="array" ref="F14">_xll.PITimeDat("\\AFBRA\BRA\Performance Monitoring\MPM Wells\PE_4|MeterA.Oil.AccMassTotal",B14,"","interpolated")</f>
        <v>377678.27982709516</v>
      </c>
      <c r="G14" s="85">
        <f t="shared" si="1"/>
        <v>455.59508026461117</v>
      </c>
      <c r="H14" s="50" cm="1">
        <f t="array" ref="H14">_xll.PITimeDat($C$55,B14,"","interpolated")</f>
        <v>7.3980628941542985</v>
      </c>
      <c r="I14" s="85" cm="1">
        <f t="array" ref="I14">_xll.PITimeDat("\\AFBRA\BRA\Performance Monitoring\MPM Wells\PE_4|MeterA.gas.AccMassTotal",A14,"","interpolated")</f>
        <v>1428.4605658792909</v>
      </c>
      <c r="J14" s="85" cm="1">
        <f t="array" ref="J14">_xll.PITimeDat("\\AFBRA\BRA\Performance Monitoring\MPM Wells\PE_4|MeterA.gas.AccMassTotal",B14,"","interpolated")</f>
        <v>1428.4620969815321</v>
      </c>
      <c r="K14" s="85">
        <f t="shared" si="2"/>
        <v>1.5311022411879094E-3</v>
      </c>
      <c r="L14" s="50" cm="1">
        <f t="array" ref="L14">_xll.PITimeDat($C$65,B14,"","interpolated")</f>
        <v>0.39408781463933906</v>
      </c>
      <c r="M14" s="87">
        <f t="shared" si="13"/>
        <v>463.06904567088964</v>
      </c>
      <c r="N14" s="87">
        <f t="shared" si="3"/>
        <v>463.463133485529</v>
      </c>
      <c r="O14" s="50" cm="1">
        <f t="array" ref="O14">_xll.PITimeDat($C$73,B14,"","interpolated")</f>
        <v>448</v>
      </c>
      <c r="P14" s="50">
        <v>773.41</v>
      </c>
      <c r="Q14" s="50">
        <f t="shared" si="4"/>
        <v>346.48767999999995</v>
      </c>
      <c r="R14" s="50" cm="1">
        <f t="array" ref="R14">_xll.PITimeDat($C$72,B14,"","interpolated")</f>
        <v>370</v>
      </c>
      <c r="S14" s="50" cm="1">
        <f t="array" ref="S14">_xll.PITimeDat($C$70,B14,"","interpolated")/1000</f>
        <v>100.88</v>
      </c>
      <c r="T14" s="50" cm="1">
        <f t="array" ref="T14">_xll.PITimeDat($C$71,B14,"","interpolated")/1000</f>
        <v>1E-3</v>
      </c>
      <c r="U14" s="57">
        <f t="shared" si="5"/>
        <v>-2.6374146247767385</v>
      </c>
      <c r="V14" s="57">
        <f t="shared" si="6"/>
        <v>2.4667751508103759</v>
      </c>
      <c r="W14" s="57">
        <f t="shared" si="7"/>
        <v>-2.2623741841963363E-3</v>
      </c>
      <c r="X14" s="57">
        <f t="shared" si="8"/>
        <v>-0.17063947396636259</v>
      </c>
      <c r="Y14" s="57">
        <f t="shared" si="9"/>
        <v>-0.17290184815055892</v>
      </c>
      <c r="Z14" s="57">
        <f t="shared" si="10"/>
        <v>-2.3202300000000378</v>
      </c>
      <c r="AA14" s="57">
        <f t="shared" si="11"/>
        <v>-0.24600000000000932</v>
      </c>
      <c r="AB14" s="57">
        <f t="shared" si="11"/>
        <v>0</v>
      </c>
      <c r="AC14" s="57">
        <f t="shared" si="14"/>
        <v>-2.5662300000000471</v>
      </c>
      <c r="AD14" s="62">
        <f t="shared" si="15"/>
        <v>-2.5662300000000471</v>
      </c>
      <c r="AE14" s="42"/>
      <c r="AF14" s="42" t="s">
        <v>288</v>
      </c>
    </row>
    <row r="15" spans="1:32" x14ac:dyDescent="0.3">
      <c r="A15" s="4">
        <v>46043.374999479165</v>
      </c>
      <c r="B15" s="4">
        <v>46043.416667129626</v>
      </c>
      <c r="C15" s="56">
        <f t="shared" si="0"/>
        <v>1.0000236110645346</v>
      </c>
      <c r="D15" s="86" cm="1">
        <f t="array" ref="D15">_xll.PITimeDat('Totalizador 24h 21_01'!$D$55,'Totalizador 24h 21_01'!$B$15,"","interpolated")</f>
        <v>454.98937159566515</v>
      </c>
      <c r="E15" s="85" cm="1">
        <f t="array" ref="E15">_xll.PITimeDat("\\AFBRA\BRA\Performance Monitoring\MPM Wells\PE_4|MeterA.Oil.AccMassTotal",A15,"","interpolated")</f>
        <v>377678.26943223242</v>
      </c>
      <c r="F15" s="85" cm="1">
        <f t="array" ref="F15">_xll.PITimeDat("\\AFBRA\BRA\Performance Monitoring\MPM Wells\PE_4|MeterA.Oil.AccMassTotal",B15,"","interpolated")</f>
        <v>378133.51801662426</v>
      </c>
      <c r="G15" s="85">
        <f t="shared" si="1"/>
        <v>455.24858439184027</v>
      </c>
      <c r="H15" s="50" cm="1">
        <f t="array" ref="H15">_xll.PITimeDat($C$55,B15,"","interpolated")</f>
        <v>9.8648380554202149</v>
      </c>
      <c r="I15" s="85" cm="1">
        <f t="array" ref="I15">_xll.PITimeDat("\\AFBRA\BRA\Performance Monitoring\MPM Wells\PE_4|MeterA.gas.AccMassTotal",A15,"","interpolated")</f>
        <v>1428.4620969475075</v>
      </c>
      <c r="J15" s="85" cm="1">
        <f t="array" ref="J15">_xll.PITimeDat("\\AFBRA\BRA\Performance Monitoring\MPM Wells\PE_4|MeterA.gas.AccMassTotal",B15,"","interpolated")</f>
        <v>1428.4636280540055</v>
      </c>
      <c r="K15" s="85">
        <f t="shared" si="2"/>
        <v>1.531106498077861E-3</v>
      </c>
      <c r="L15" s="50" cm="1">
        <f t="array" ref="L15">_xll.PITimeDat($C$65,B15,"","interpolated")</f>
        <v>0.39354578161918902</v>
      </c>
      <c r="M15" s="87">
        <f t="shared" si="13"/>
        <v>464.85420965108534</v>
      </c>
      <c r="N15" s="87">
        <f t="shared" si="3"/>
        <v>465.24775543270454</v>
      </c>
      <c r="O15" s="50" cm="1">
        <f t="array" ref="O15">_xll.PITimeDat($C$73,B15,"","interpolated")</f>
        <v>449</v>
      </c>
      <c r="P15" s="50">
        <v>773.41</v>
      </c>
      <c r="Q15" s="50">
        <f t="shared" si="4"/>
        <v>347.26108999999997</v>
      </c>
      <c r="R15" s="50" cm="1">
        <f t="array" ref="R15">_xll.PITimeDat($C$72,B15,"","interpolated")</f>
        <v>369</v>
      </c>
      <c r="S15" s="50" cm="1">
        <f t="array" ref="S15">_xll.PITimeDat($C$70,B15,"","interpolated")/1000</f>
        <v>100.797</v>
      </c>
      <c r="T15" s="50" cm="1">
        <f t="array" ref="T15">_xll.PITimeDat($C$71,B15,"","interpolated")/1000</f>
        <v>1E-3</v>
      </c>
      <c r="U15" s="57">
        <f t="shared" si="5"/>
        <v>-0.68161118107019547</v>
      </c>
      <c r="V15" s="57">
        <f t="shared" si="6"/>
        <v>2.4667751612659163</v>
      </c>
      <c r="W15" s="57">
        <f t="shared" si="7"/>
        <v>-5.4203302015004562E-4</v>
      </c>
      <c r="X15" s="57">
        <f t="shared" si="8"/>
        <v>1.7851639801957209</v>
      </c>
      <c r="Y15" s="57">
        <f t="shared" si="9"/>
        <v>1.7846219471755709</v>
      </c>
      <c r="Z15" s="57">
        <f t="shared" si="10"/>
        <v>0.77341000000001259</v>
      </c>
      <c r="AA15" s="57">
        <f t="shared" si="11"/>
        <v>-8.2999999999998408E-2</v>
      </c>
      <c r="AB15" s="57">
        <f t="shared" si="11"/>
        <v>0</v>
      </c>
      <c r="AC15" s="57">
        <f t="shared" si="14"/>
        <v>0.69041000000001418</v>
      </c>
      <c r="AD15" s="62">
        <f t="shared" si="15"/>
        <v>0.69041000000001418</v>
      </c>
      <c r="AE15" s="42"/>
      <c r="AF15" s="42" t="s">
        <v>288</v>
      </c>
    </row>
    <row r="16" spans="1:32" x14ac:dyDescent="0.3">
      <c r="A16" s="4">
        <v>46043.416666087964</v>
      </c>
      <c r="B16" s="4">
        <v>46043.458333854163</v>
      </c>
      <c r="C16" s="56">
        <f t="shared" si="0"/>
        <v>1.0000263887923211</v>
      </c>
      <c r="D16" s="86" cm="1">
        <f t="array" ref="D16">_xll.PITimeDat('Totalizador 24h 21_01'!$D$55,'Totalizador 24h 21_01'!$B$16,"","interpolated")</f>
        <v>442.20588313771748</v>
      </c>
      <c r="E16" s="85" cm="1">
        <f t="array" ref="E16">_xll.PITimeDat("\\AFBRA\BRA\Performance Monitoring\MPM Wells\PE_4|MeterA.Oil.AccMassTotal",A16,"","interpolated")</f>
        <v>378133.50633617589</v>
      </c>
      <c r="F16" s="85" cm="1">
        <f t="array" ref="F16">_xll.PITimeDat("\\AFBRA\BRA\Performance Monitoring\MPM Wells\PE_4|MeterA.Oil.AccMassTotal",B16,"","interpolated")</f>
        <v>378575.38626897341</v>
      </c>
      <c r="G16" s="85">
        <f t="shared" si="1"/>
        <v>441.8799327975139</v>
      </c>
      <c r="H16" s="50" cm="1">
        <f t="array" ref="H16">_xll.PITimeDat($C$55,B16,"","interpolated")</f>
        <v>12.331613216686131</v>
      </c>
      <c r="I16" s="85" cm="1">
        <f t="array" ref="I16">_xll.PITimeDat("\\AFBRA\BRA\Performance Monitoring\MPM Wells\PE_4|MeterA.gas.AccMassTotal",A16,"","interpolated")</f>
        <v>1428.4636280157304</v>
      </c>
      <c r="J16" s="85" cm="1">
        <f t="array" ref="J16">_xll.PITimeDat("\\AFBRA\BRA\Performance Monitoring\MPM Wells\PE_4|MeterA.gas.AccMassTotal",B16,"","interpolated")</f>
        <v>1440.7970725615482</v>
      </c>
      <c r="K16" s="85">
        <f t="shared" si="2"/>
        <v>12.333444545817883</v>
      </c>
      <c r="L16" s="50" cm="1">
        <f t="array" ref="L16">_xll.PITimeDat($C$65,B16,"","interpolated")</f>
        <v>0.28826770346378316</v>
      </c>
      <c r="M16" s="87">
        <f t="shared" si="13"/>
        <v>454.53749635440363</v>
      </c>
      <c r="N16" s="87">
        <f t="shared" si="3"/>
        <v>454.82576405786739</v>
      </c>
      <c r="O16" s="50" cm="1">
        <f t="array" ref="O16">_xll.PITimeDat($C$73,B16,"","interpolated")</f>
        <v>451</v>
      </c>
      <c r="P16" s="50">
        <v>773.41</v>
      </c>
      <c r="Q16" s="50">
        <f t="shared" si="4"/>
        <v>348.80790999999999</v>
      </c>
      <c r="R16" s="50" cm="1">
        <f t="array" ref="R16">_xll.PITimeDat($C$72,B16,"","interpolated")</f>
        <v>372</v>
      </c>
      <c r="S16" s="50" cm="1">
        <f t="array" ref="S16">_xll.PITimeDat($C$70,B16,"","interpolated")/1000</f>
        <v>101.542</v>
      </c>
      <c r="T16" s="50" cm="1">
        <f t="array" ref="T16">_xll.PITimeDat($C$71,B16,"","interpolated")/1000</f>
        <v>1E-3</v>
      </c>
      <c r="U16" s="57">
        <f t="shared" si="5"/>
        <v>-12.783488457947669</v>
      </c>
      <c r="V16" s="57">
        <f t="shared" si="6"/>
        <v>2.4667751612659163</v>
      </c>
      <c r="W16" s="57">
        <f t="shared" si="7"/>
        <v>-0.10527807815540585</v>
      </c>
      <c r="X16" s="57">
        <f t="shared" si="8"/>
        <v>-10.316713296681753</v>
      </c>
      <c r="Y16" s="57">
        <f t="shared" si="9"/>
        <v>-10.421991374837159</v>
      </c>
      <c r="Z16" s="57">
        <f t="shared" si="10"/>
        <v>1.5468200000000252</v>
      </c>
      <c r="AA16" s="57">
        <f t="shared" si="11"/>
        <v>0.74500000000000455</v>
      </c>
      <c r="AB16" s="57">
        <f t="shared" si="11"/>
        <v>0</v>
      </c>
      <c r="AC16" s="57">
        <f t="shared" si="14"/>
        <v>2.2918200000000297</v>
      </c>
      <c r="AD16" s="62">
        <f t="shared" si="15"/>
        <v>2.2918200000000297</v>
      </c>
      <c r="AE16" s="42"/>
      <c r="AF16" s="42" t="s">
        <v>288</v>
      </c>
    </row>
    <row r="17" spans="1:32" x14ac:dyDescent="0.3">
      <c r="A17" s="4">
        <v>46043.458332696762</v>
      </c>
      <c r="B17" s="4">
        <v>46043.500000578701</v>
      </c>
      <c r="C17" s="56">
        <f t="shared" si="0"/>
        <v>1.0000291665201075</v>
      </c>
      <c r="D17" s="86" cm="1">
        <f t="array" ref="D17">_xll.PITimeDat('Totalizador 24h 21_01'!$D$55,'Totalizador 24h 21_01'!$B$17,"","interpolated")</f>
        <v>402.08455128312085</v>
      </c>
      <c r="E17" s="85" cm="1">
        <f t="array" ref="E17">_xll.PITimeDat("\\AFBRA\BRA\Performance Monitoring\MPM Wells\PE_4|MeterA.Oil.AccMassTotal",A17,"","interpolated")</f>
        <v>378575.37501058378</v>
      </c>
      <c r="F17" s="85" cm="1">
        <f t="array" ref="F17">_xll.PITimeDat("\\AFBRA\BRA\Performance Monitoring\MPM Wells\PE_4|MeterA.Oil.AccMassTotal",B17,"","interpolated")</f>
        <v>378977.41394046345</v>
      </c>
      <c r="G17" s="85">
        <f t="shared" si="1"/>
        <v>402.03892987966537</v>
      </c>
      <c r="H17" s="50" cm="1">
        <f t="array" ref="H17">_xll.PITimeDat($C$55,B17,"","interpolated")</f>
        <v>43.806681945668515</v>
      </c>
      <c r="I17" s="85" cm="1">
        <f t="array" ref="I17">_xll.PITimeDat("\\AFBRA\BRA\Performance Monitoring\MPM Wells\PE_4|MeterA.gas.AccMassTotal",A17,"","interpolated")</f>
        <v>1440.7958960300132</v>
      </c>
      <c r="J17" s="85" cm="1">
        <f t="array" ref="J17">_xll.PITimeDat("\\AFBRA\BRA\Performance Monitoring\MPM Wells\PE_4|MeterA.gas.AccMassTotal",B17,"","interpolated")</f>
        <v>1484.6311340622653</v>
      </c>
      <c r="K17" s="85">
        <f t="shared" si="2"/>
        <v>43.835238032252164</v>
      </c>
      <c r="L17" s="50" cm="1">
        <f t="array" ref="L17">_xll.PITimeDat($C$65,B17,"","interpolated")</f>
        <v>3.5691204321153247E-4</v>
      </c>
      <c r="M17" s="87">
        <f t="shared" si="13"/>
        <v>445.89123322878936</v>
      </c>
      <c r="N17" s="87">
        <f t="shared" si="3"/>
        <v>445.89159014083259</v>
      </c>
      <c r="O17" s="50" cm="1">
        <f t="array" ref="O17">_xll.PITimeDat($C$73,B17,"","interpolated")</f>
        <v>455</v>
      </c>
      <c r="P17" s="50">
        <v>773.41</v>
      </c>
      <c r="Q17" s="50">
        <f t="shared" si="4"/>
        <v>351.90154999999999</v>
      </c>
      <c r="R17" s="50" cm="1">
        <f t="array" ref="R17">_xll.PITimeDat($C$72,B17,"","interpolated")</f>
        <v>375</v>
      </c>
      <c r="S17" s="50" cm="1">
        <f t="array" ref="S17">_xll.PITimeDat($C$70,B17,"","interpolated")/1000</f>
        <v>102.556</v>
      </c>
      <c r="T17" s="50" cm="1">
        <f t="array" ref="T17">_xll.PITimeDat($C$71,B17,"","interpolated")/1000</f>
        <v>1E-3</v>
      </c>
      <c r="U17" s="57">
        <f t="shared" si="5"/>
        <v>-40.121331854596633</v>
      </c>
      <c r="V17" s="57">
        <f t="shared" si="6"/>
        <v>31.475068728982386</v>
      </c>
      <c r="W17" s="57">
        <f t="shared" si="7"/>
        <v>-0.28791079142057163</v>
      </c>
      <c r="X17" s="57">
        <f t="shared" si="8"/>
        <v>-8.6462631256142473</v>
      </c>
      <c r="Y17" s="57">
        <f t="shared" si="9"/>
        <v>-8.9341739170348191</v>
      </c>
      <c r="Z17" s="57">
        <f t="shared" si="10"/>
        <v>3.0936399999999935</v>
      </c>
      <c r="AA17" s="57">
        <f t="shared" si="11"/>
        <v>1.0139999999999958</v>
      </c>
      <c r="AB17" s="57">
        <f t="shared" si="11"/>
        <v>0</v>
      </c>
      <c r="AC17" s="57">
        <f t="shared" si="14"/>
        <v>4.1076399999999893</v>
      </c>
      <c r="AD17" s="62">
        <f t="shared" si="15"/>
        <v>4.1076399999999893</v>
      </c>
      <c r="AE17" s="42"/>
      <c r="AF17" s="42" t="s">
        <v>288</v>
      </c>
    </row>
    <row r="18" spans="1:32" x14ac:dyDescent="0.3">
      <c r="A18" s="4">
        <v>46043.499999305554</v>
      </c>
      <c r="B18" s="4">
        <v>46043.541667303238</v>
      </c>
      <c r="C18" s="56">
        <f t="shared" si="0"/>
        <v>1.000031944422517</v>
      </c>
      <c r="D18" s="86" cm="1">
        <f t="array" ref="D18">_xll.PITimeDat('Totalizador 24h 21_01'!$D$55,'Totalizador 24h 21_01'!$B$18,"","interpolated")</f>
        <v>402.3155840457693</v>
      </c>
      <c r="E18" s="85" cm="1">
        <f t="array" ref="E18">_xll.PITimeDat("\\AFBRA\BRA\Performance Monitoring\MPM Wells\PE_4|MeterA.Oil.AccMassTotal",A18,"","interpolated")</f>
        <v>378977.40170757187</v>
      </c>
      <c r="F18" s="85" cm="1">
        <f t="array" ref="F18">_xll.PITimeDat("\\AFBRA\BRA\Performance Monitoring\MPM Wells\PE_4|MeterA.Oil.AccMassTotal",B18,"","interpolated")</f>
        <v>379379.62160799158</v>
      </c>
      <c r="G18" s="85">
        <f t="shared" si="1"/>
        <v>402.21990041970275</v>
      </c>
      <c r="H18" s="50" cm="1">
        <f t="array" ref="H18">_xll.PITimeDat($C$55,B18,"","interpolated")</f>
        <v>43.671201141885888</v>
      </c>
      <c r="I18" s="85" cm="1">
        <f t="array" ref="I18">_xll.PITimeDat("\\AFBRA\BRA\Performance Monitoring\MPM Wells\PE_4|MeterA.gas.AccMassTotal",A18,"","interpolated")</f>
        <v>1484.6298480810685</v>
      </c>
      <c r="J18" s="85" cm="1">
        <f t="array" ref="J18">_xll.PITimeDat("\\AFBRA\BRA\Performance Monitoring\MPM Wells\PE_4|MeterA.gas.AccMassTotal",B18,"","interpolated")</f>
        <v>1528.2891405234557</v>
      </c>
      <c r="K18" s="85">
        <f t="shared" si="2"/>
        <v>43.659292442387141</v>
      </c>
      <c r="L18" s="50" cm="1">
        <f t="array" ref="L18">_xll.PITimeDat($C$65,B18,"","interpolated")</f>
        <v>0</v>
      </c>
      <c r="M18" s="87">
        <f t="shared" si="13"/>
        <v>445.98678518765519</v>
      </c>
      <c r="N18" s="87">
        <f t="shared" si="3"/>
        <v>445.98678518765519</v>
      </c>
      <c r="O18" s="50" cm="1">
        <f t="array" ref="O18">_xll.PITimeDat($C$73,B18,"","interpolated")</f>
        <v>456</v>
      </c>
      <c r="P18" s="50">
        <v>773.41</v>
      </c>
      <c r="Q18" s="50">
        <f t="shared" si="4"/>
        <v>352.67495999999994</v>
      </c>
      <c r="R18" s="50" cm="1">
        <f t="array" ref="R18">_xll.PITimeDat($C$72,B18,"","interpolated")</f>
        <v>376</v>
      </c>
      <c r="S18" s="50" cm="1">
        <f t="array" ref="S18">_xll.PITimeDat($C$70,B18,"","interpolated")/1000</f>
        <v>102.65300000000001</v>
      </c>
      <c r="T18" s="50" cm="1">
        <f t="array" ref="T18">_xll.PITimeDat($C$71,B18,"","interpolated")/1000</f>
        <v>1E-3</v>
      </c>
      <c r="U18" s="57">
        <f t="shared" si="5"/>
        <v>0.23103276264845363</v>
      </c>
      <c r="V18" s="57">
        <f t="shared" si="6"/>
        <v>-0.13548080378262739</v>
      </c>
      <c r="W18" s="57">
        <f t="shared" si="7"/>
        <v>-3.5691204321153247E-4</v>
      </c>
      <c r="X18" s="57">
        <f t="shared" si="8"/>
        <v>9.5551958865826236E-2</v>
      </c>
      <c r="Y18" s="57">
        <f t="shared" si="9"/>
        <v>9.5195046822614704E-2</v>
      </c>
      <c r="Z18" s="57">
        <f t="shared" si="10"/>
        <v>0.77340999999995574</v>
      </c>
      <c r="AA18" s="57">
        <f t="shared" si="11"/>
        <v>9.7000000000008413E-2</v>
      </c>
      <c r="AB18" s="57">
        <f t="shared" si="11"/>
        <v>0</v>
      </c>
      <c r="AC18" s="57">
        <f t="shared" si="14"/>
        <v>0.87040999999996416</v>
      </c>
      <c r="AD18" s="62">
        <f t="shared" si="15"/>
        <v>0.87040999999996416</v>
      </c>
      <c r="AE18" s="42"/>
      <c r="AF18" s="42" t="s">
        <v>288</v>
      </c>
    </row>
    <row r="19" spans="1:32" x14ac:dyDescent="0.3">
      <c r="A19" s="4">
        <v>46043.541665914352</v>
      </c>
      <c r="B19" s="4">
        <v>46043.583334027775</v>
      </c>
      <c r="C19" s="56">
        <f t="shared" si="0"/>
        <v>1.0000347221503034</v>
      </c>
      <c r="D19" s="86" cm="1">
        <f t="array" ref="D19">_xll.PITimeDat('Totalizador 24h 21_01'!$D$55,'Totalizador 24h 21_01'!$B$19,"","interpolated")</f>
        <v>401.82271762224747</v>
      </c>
      <c r="E19" s="85" cm="1">
        <f t="array" ref="E19">_xll.PITimeDat("\\AFBRA\BRA\Performance Monitoring\MPM Wells\PE_4|MeterA.Oil.AccMassTotal",A19,"","interpolated")</f>
        <v>379379.60814027709</v>
      </c>
      <c r="F19" s="85" cm="1">
        <f t="array" ref="F19">_xll.PITimeDat("\\AFBRA\BRA\Performance Monitoring\MPM Wells\PE_4|MeterA.Oil.AccMassTotal",B19,"","interpolated")</f>
        <v>379781.55744463106</v>
      </c>
      <c r="G19" s="85">
        <f t="shared" si="1"/>
        <v>401.94930435396964</v>
      </c>
      <c r="H19" s="50" cm="1">
        <f t="array" ref="H19">_xll.PITimeDat($C$55,B19,"","interpolated")</f>
        <v>43.86653735543964</v>
      </c>
      <c r="I19" s="85" cm="1">
        <f t="array" ref="I19">_xll.PITimeDat("\\AFBRA\BRA\Performance Monitoring\MPM Wells\PE_4|MeterA.gas.AccMassTotal",A19,"","interpolated")</f>
        <v>1528.2877449866794</v>
      </c>
      <c r="J19" s="85" cm="1">
        <f t="array" ref="J19">_xll.PITimeDat("\\AFBRA\BRA\Performance Monitoring\MPM Wells\PE_4|MeterA.gas.AccMassTotal",B19,"","interpolated")</f>
        <v>1572.2030840905807</v>
      </c>
      <c r="K19" s="85">
        <f t="shared" si="2"/>
        <v>43.91533910390126</v>
      </c>
      <c r="L19" s="50" cm="1">
        <f t="array" ref="L19">_xll.PITimeDat($C$65,B19,"","interpolated")</f>
        <v>0</v>
      </c>
      <c r="M19" s="87">
        <f t="shared" si="13"/>
        <v>445.68925497768709</v>
      </c>
      <c r="N19" s="87">
        <f t="shared" si="3"/>
        <v>445.68925497768709</v>
      </c>
      <c r="O19" s="50" cm="1">
        <f t="array" ref="O19">_xll.PITimeDat($C$73,B19,"","interpolated")</f>
        <v>458</v>
      </c>
      <c r="P19" s="50">
        <v>773.41</v>
      </c>
      <c r="Q19" s="50">
        <f t="shared" si="4"/>
        <v>354.22177999999997</v>
      </c>
      <c r="R19" s="50" cm="1">
        <f t="array" ref="R19">_xll.PITimeDat($C$72,B19,"","interpolated")</f>
        <v>378</v>
      </c>
      <c r="S19" s="50" cm="1">
        <f t="array" ref="S19">_xll.PITimeDat($C$70,B19,"","interpolated")/1000</f>
        <v>101.38800000000001</v>
      </c>
      <c r="T19" s="50" cm="1">
        <f t="array" ref="T19">_xll.PITimeDat($C$71,B19,"","interpolated")/1000</f>
        <v>2E-3</v>
      </c>
      <c r="U19" s="57">
        <f t="shared" si="5"/>
        <v>-0.49286642352183208</v>
      </c>
      <c r="V19" s="57">
        <f t="shared" si="6"/>
        <v>0.19533621355375175</v>
      </c>
      <c r="W19" s="57">
        <f t="shared" si="7"/>
        <v>0</v>
      </c>
      <c r="X19" s="57">
        <f t="shared" si="8"/>
        <v>-0.29753020996808033</v>
      </c>
      <c r="Y19" s="57">
        <f t="shared" si="9"/>
        <v>-0.29753020996808033</v>
      </c>
      <c r="Z19" s="57">
        <f t="shared" si="10"/>
        <v>1.5468200000000252</v>
      </c>
      <c r="AA19" s="57">
        <f t="shared" si="11"/>
        <v>-1.2650000000000006</v>
      </c>
      <c r="AB19" s="57">
        <f t="shared" si="11"/>
        <v>1E-3</v>
      </c>
      <c r="AC19" s="57">
        <f t="shared" si="14"/>
        <v>0.28182000000002461</v>
      </c>
      <c r="AD19" s="62">
        <f t="shared" si="15"/>
        <v>0.28282000000002461</v>
      </c>
      <c r="AE19" s="42"/>
      <c r="AF19" s="42" t="s">
        <v>288</v>
      </c>
    </row>
    <row r="20" spans="1:32" x14ac:dyDescent="0.3">
      <c r="A20" s="4">
        <v>46043.583332523151</v>
      </c>
      <c r="B20" s="4">
        <v>46043.625000752312</v>
      </c>
      <c r="C20" s="56">
        <f t="shared" si="0"/>
        <v>1.0000374998780899</v>
      </c>
      <c r="D20" s="86" cm="1">
        <f t="array" ref="D20">_xll.PITimeDat('Totalizador 24h 21_01'!$D$55,'Totalizador 24h 21_01'!$B$20,"","interpolated")</f>
        <v>402.08886422926048</v>
      </c>
      <c r="E20" s="85" cm="1">
        <f t="array" ref="E20">_xll.PITimeDat("\\AFBRA\BRA\Performance Monitoring\MPM Wells\PE_4|MeterA.Oil.AccMassTotal",A20,"","interpolated")</f>
        <v>379781.54299337778</v>
      </c>
      <c r="F20" s="85" cm="1">
        <f t="array" ref="F20">_xll.PITimeDat("\\AFBRA\BRA\Performance Monitoring\MPM Wells\PE_4|MeterA.Oil.AccMassTotal",B20,"","interpolated")</f>
        <v>380183.6280846427</v>
      </c>
      <c r="G20" s="85">
        <f t="shared" si="1"/>
        <v>402.08509126491845</v>
      </c>
      <c r="H20" s="50" cm="1">
        <f t="array" ref="H20">_xll.PITimeDat($C$55,B20,"","interpolated")</f>
        <v>44.037285523317252</v>
      </c>
      <c r="I20" s="85" cm="1">
        <f t="array" ref="I20">_xll.PITimeDat("\\AFBRA\BRA\Performance Monitoring\MPM Wells\PE_4|MeterA.gas.AccMassTotal",A20,"","interpolated")</f>
        <v>1572.2014572654534</v>
      </c>
      <c r="J20" s="85" cm="1">
        <f t="array" ref="J20">_xll.PITimeDat("\\AFBRA\BRA\Performance Monitoring\MPM Wells\PE_4|MeterA.gas.AccMassTotal",B20,"","interpolated")</f>
        <v>1616.225324057953</v>
      </c>
      <c r="K20" s="85">
        <f t="shared" si="2"/>
        <v>44.023866792499575</v>
      </c>
      <c r="L20" s="50" cm="1">
        <f t="array" ref="L20">_xll.PITimeDat($C$65,B20,"","interpolated")</f>
        <v>0</v>
      </c>
      <c r="M20" s="87">
        <f t="shared" si="13"/>
        <v>446.1261497525777</v>
      </c>
      <c r="N20" s="87">
        <f t="shared" si="3"/>
        <v>446.1261497525777</v>
      </c>
      <c r="O20" s="50" cm="1">
        <f t="array" ref="O20">_xll.PITimeDat($C$73,B20,"","interpolated")</f>
        <v>458</v>
      </c>
      <c r="P20" s="50">
        <v>773.41</v>
      </c>
      <c r="Q20" s="50">
        <f t="shared" si="4"/>
        <v>354.22177999999997</v>
      </c>
      <c r="R20" s="50" cm="1">
        <f t="array" ref="R20">_xll.PITimeDat($C$72,B20,"","interpolated")</f>
        <v>378</v>
      </c>
      <c r="S20" s="50" cm="1">
        <f t="array" ref="S20">_xll.PITimeDat($C$70,B20,"","interpolated")/1000</f>
        <v>101.693</v>
      </c>
      <c r="T20" s="50" cm="1">
        <f t="array" ref="T20">_xll.PITimeDat($C$71,B20,"","interpolated")/1000</f>
        <v>2E-3</v>
      </c>
      <c r="U20" s="57">
        <f t="shared" si="5"/>
        <v>0.26614660701301318</v>
      </c>
      <c r="V20" s="57">
        <f t="shared" si="6"/>
        <v>0.17074816787761193</v>
      </c>
      <c r="W20" s="57">
        <f t="shared" si="7"/>
        <v>0</v>
      </c>
      <c r="X20" s="57">
        <f t="shared" si="8"/>
        <v>0.43689477489062511</v>
      </c>
      <c r="Y20" s="57">
        <f t="shared" si="9"/>
        <v>0.43689477489062511</v>
      </c>
      <c r="Z20" s="57">
        <f t="shared" si="10"/>
        <v>0</v>
      </c>
      <c r="AA20" s="57">
        <f t="shared" si="11"/>
        <v>0.30499999999999261</v>
      </c>
      <c r="AB20" s="57">
        <f t="shared" si="11"/>
        <v>0</v>
      </c>
      <c r="AC20" s="57">
        <f t="shared" si="14"/>
        <v>0.30499999999999261</v>
      </c>
      <c r="AD20" s="62">
        <f t="shared" si="15"/>
        <v>0.30499999999999261</v>
      </c>
      <c r="AE20" s="42"/>
      <c r="AF20" s="42" t="s">
        <v>288</v>
      </c>
    </row>
    <row r="21" spans="1:32" x14ac:dyDescent="0.3">
      <c r="A21" s="4">
        <v>46043.624999131942</v>
      </c>
      <c r="B21" s="4">
        <v>46043.666667476849</v>
      </c>
      <c r="C21" s="56">
        <f t="shared" si="0"/>
        <v>1.0000402777804993</v>
      </c>
      <c r="D21" s="86" cm="1">
        <f t="array" ref="D21">_xll.PITimeDat('Totalizador 24h 21_01'!$D$55,'Totalizador 24h 21_01'!$B$21,"","interpolated")</f>
        <v>409.06657377557445</v>
      </c>
      <c r="E21" s="85" cm="1">
        <f t="array" ref="E21">_xll.PITimeDat("\\AFBRA\BRA\Performance Monitoring\MPM Wells\PE_4|MeterA.Oil.AccMassTotal",A21,"","interpolated")</f>
        <v>380183.61280078988</v>
      </c>
      <c r="F21" s="85" cm="1">
        <f t="array" ref="F21">_xll.PITimeDat("\\AFBRA\BRA\Performance Monitoring\MPM Wells\PE_4|MeterA.Oil.AccMassTotal",B21,"","interpolated")</f>
        <v>380592.6241355199</v>
      </c>
      <c r="G21" s="85">
        <f t="shared" si="1"/>
        <v>409.01133473002119</v>
      </c>
      <c r="H21" s="50" cm="1">
        <f t="array" ref="H21">_xll.PITimeDat($C$55,B21,"","interpolated")</f>
        <v>48.27691591252659</v>
      </c>
      <c r="I21" s="85" cm="1">
        <f t="array" ref="I21">_xll.PITimeDat("\\AFBRA\BRA\Performance Monitoring\MPM Wells\PE_4|MeterA.gas.AccMassTotal",A21,"","interpolated")</f>
        <v>1616.223612976944</v>
      </c>
      <c r="J21" s="85" cm="1">
        <f t="array" ref="J21">_xll.PITimeDat("\\AFBRA\BRA\Performance Monitoring\MPM Wells\PE_4|MeterA.gas.AccMassTotal",B21,"","interpolated")</f>
        <v>1664.5147885493514</v>
      </c>
      <c r="K21" s="85">
        <f t="shared" si="2"/>
        <v>48.291175572407383</v>
      </c>
      <c r="L21" s="50" cm="1">
        <f t="array" ref="L21">_xll.PITimeDat($C$65,B21,"","interpolated")</f>
        <v>0</v>
      </c>
      <c r="M21" s="87">
        <f t="shared" si="13"/>
        <v>457.34348968810104</v>
      </c>
      <c r="N21" s="87">
        <f t="shared" si="3"/>
        <v>457.34348968810104</v>
      </c>
      <c r="O21" s="50" cm="1">
        <f t="array" ref="O21">_xll.PITimeDat($C$73,B21,"","interpolated")</f>
        <v>469</v>
      </c>
      <c r="P21" s="50">
        <v>773.41</v>
      </c>
      <c r="Q21" s="50">
        <f t="shared" si="4"/>
        <v>362.72928999999999</v>
      </c>
      <c r="R21" s="50" cm="1">
        <f t="array" ref="R21">_xll.PITimeDat($C$72,B21,"","interpolated")</f>
        <v>387</v>
      </c>
      <c r="S21" s="50" cm="1">
        <f t="array" ref="S21">_xll.PITimeDat($C$70,B21,"","interpolated")/1000</f>
        <v>104.04300000000001</v>
      </c>
      <c r="T21" s="50" cm="1">
        <f t="array" ref="T21">_xll.PITimeDat($C$71,B21,"","interpolated")/1000</f>
        <v>2E-3</v>
      </c>
      <c r="U21" s="57">
        <f t="shared" si="5"/>
        <v>6.9777095463139744</v>
      </c>
      <c r="V21" s="57">
        <f t="shared" si="6"/>
        <v>4.2396303892093385</v>
      </c>
      <c r="W21" s="57">
        <f t="shared" si="7"/>
        <v>0</v>
      </c>
      <c r="X21" s="57">
        <f t="shared" si="8"/>
        <v>11.217339935523313</v>
      </c>
      <c r="Y21" s="57">
        <f t="shared" si="9"/>
        <v>11.217339935523313</v>
      </c>
      <c r="Z21" s="57">
        <f t="shared" si="10"/>
        <v>8.5075100000000248</v>
      </c>
      <c r="AA21" s="57">
        <f t="shared" si="11"/>
        <v>2.3500000000000085</v>
      </c>
      <c r="AB21" s="57">
        <f t="shared" si="11"/>
        <v>0</v>
      </c>
      <c r="AC21" s="57">
        <f t="shared" si="14"/>
        <v>10.857510000000033</v>
      </c>
      <c r="AD21" s="62">
        <f t="shared" si="15"/>
        <v>10.857510000000033</v>
      </c>
      <c r="AE21" s="42"/>
      <c r="AF21" s="42" t="s">
        <v>288</v>
      </c>
    </row>
    <row r="22" spans="1:32" x14ac:dyDescent="0.3">
      <c r="A22" s="4">
        <v>46043.66666574074</v>
      </c>
      <c r="B22" s="4">
        <v>46043.708334201387</v>
      </c>
      <c r="C22" s="56">
        <f t="shared" si="0"/>
        <v>1.0000430555082858</v>
      </c>
      <c r="D22" s="86" cm="1">
        <f t="array" ref="D22">_xll.PITimeDat('Totalizador 24h 21_01'!$D$55,'Totalizador 24h 21_01'!$B$22,"","interpolated")</f>
        <v>415.6410591677049</v>
      </c>
      <c r="E22" s="85" cm="1">
        <f t="array" ref="E22">_xll.PITimeDat("\\AFBRA\BRA\Performance Monitoring\MPM Wells\PE_4|MeterA.Oil.AccMassTotal",A22,"","interpolated")</f>
        <v>380592.60717210919</v>
      </c>
      <c r="F22" s="85" cm="1">
        <f t="array" ref="F22">_xll.PITimeDat("\\AFBRA\BRA\Performance Monitoring\MPM Wells\PE_4|MeterA.Oil.AccMassTotal",B22,"","interpolated")</f>
        <v>381008.19040346786</v>
      </c>
      <c r="G22" s="85">
        <f t="shared" si="1"/>
        <v>415.58323135867249</v>
      </c>
      <c r="H22" s="50" cm="1">
        <f t="array" ref="H22">_xll.PITimeDat($C$55,B22,"","interpolated")</f>
        <v>52.22389785826735</v>
      </c>
      <c r="I22" s="85" cm="1">
        <f t="array" ref="I22">_xll.PITimeDat("\\AFBRA\BRA\Performance Monitoring\MPM Wells\PE_4|MeterA.gas.AccMassTotal",A22,"","interpolated")</f>
        <v>1664.5126595632455</v>
      </c>
      <c r="J22" s="85" cm="1">
        <f t="array" ref="J22">_xll.PITimeDat("\\AFBRA\BRA\Performance Monitoring\MPM Wells\PE_4|MeterA.gas.AccMassTotal",B22,"","interpolated")</f>
        <v>1716.7453143979483</v>
      </c>
      <c r="K22" s="85">
        <f t="shared" si="2"/>
        <v>52.232654834702771</v>
      </c>
      <c r="L22" s="50" cm="1">
        <f t="array" ref="L22">_xll.PITimeDat($C$65,B22,"","interpolated")</f>
        <v>0</v>
      </c>
      <c r="M22" s="87">
        <f t="shared" si="13"/>
        <v>467.86495702597222</v>
      </c>
      <c r="N22" s="87">
        <f t="shared" si="3"/>
        <v>467.86495702597222</v>
      </c>
      <c r="O22" s="50" cm="1">
        <f t="array" ref="O22">_xll.PITimeDat($C$73,B22,"","interpolated")</f>
        <v>479</v>
      </c>
      <c r="P22" s="50">
        <v>773.41</v>
      </c>
      <c r="Q22" s="50">
        <f t="shared" si="4"/>
        <v>370.46338999999995</v>
      </c>
      <c r="R22" s="50" cm="1">
        <f t="array" ref="R22">_xll.PITimeDat($C$72,B22,"","interpolated")</f>
        <v>395</v>
      </c>
      <c r="S22" s="50" cm="1">
        <f t="array" ref="S22">_xll.PITimeDat($C$70,B22,"","interpolated")/1000</f>
        <v>106.22499999999999</v>
      </c>
      <c r="T22" s="50" cm="1">
        <f t="array" ref="T22">_xll.PITimeDat($C$71,B22,"","interpolated")/1000</f>
        <v>1E-3</v>
      </c>
      <c r="U22" s="57">
        <f t="shared" si="5"/>
        <v>6.5744853921304411</v>
      </c>
      <c r="V22" s="57">
        <f t="shared" si="6"/>
        <v>3.9469819457407596</v>
      </c>
      <c r="W22" s="57">
        <f t="shared" si="7"/>
        <v>0</v>
      </c>
      <c r="X22" s="57">
        <f t="shared" si="8"/>
        <v>10.521467337871201</v>
      </c>
      <c r="Y22" s="57">
        <f t="shared" si="9"/>
        <v>10.521467337871201</v>
      </c>
      <c r="Z22" s="57">
        <f t="shared" si="10"/>
        <v>7.7340999999999553</v>
      </c>
      <c r="AA22" s="57">
        <f t="shared" si="11"/>
        <v>2.1819999999999879</v>
      </c>
      <c r="AB22" s="57">
        <f t="shared" si="11"/>
        <v>-1E-3</v>
      </c>
      <c r="AC22" s="57">
        <f t="shared" si="14"/>
        <v>9.9160999999999433</v>
      </c>
      <c r="AD22" s="62">
        <f t="shared" si="15"/>
        <v>9.9150999999999438</v>
      </c>
      <c r="AE22" s="42"/>
      <c r="AF22" s="42" t="s">
        <v>288</v>
      </c>
    </row>
    <row r="23" spans="1:32" x14ac:dyDescent="0.3">
      <c r="A23" s="4">
        <v>46043.708332349539</v>
      </c>
      <c r="B23" s="4">
        <v>46043.750000925924</v>
      </c>
      <c r="C23" s="56">
        <f t="shared" si="0"/>
        <v>1.0000458332360722</v>
      </c>
      <c r="D23" s="86" cm="1">
        <f t="array" ref="D23">_xll.PITimeDat('Totalizador 24h 21_01'!$D$55,'Totalizador 24h 21_01'!$B$23,"","interpolated")</f>
        <v>415.94062839068482</v>
      </c>
      <c r="E23" s="85" cm="1">
        <f t="array" ref="E23">_xll.PITimeDat("\\AFBRA\BRA\Performance Monitoring\MPM Wells\PE_4|MeterA.Oil.AccMassTotal",A23,"","interpolated")</f>
        <v>381008.17159202596</v>
      </c>
      <c r="F23" s="85" cm="1">
        <f t="array" ref="F23">_xll.PITimeDat("\\AFBRA\BRA\Performance Monitoring\MPM Wells\PE_4|MeterA.Oil.AccMassTotal",B23,"","interpolated")</f>
        <v>381424.09284211195</v>
      </c>
      <c r="G23" s="85">
        <f t="shared" si="1"/>
        <v>415.92125008598669</v>
      </c>
      <c r="H23" s="50" cm="1">
        <f t="array" ref="H23">_xll.PITimeDat($C$55,B23,"","interpolated")</f>
        <v>52.392162784462137</v>
      </c>
      <c r="I23" s="85" cm="1">
        <f t="array" ref="I23">_xll.PITimeDat("\\AFBRA\BRA\Performance Monitoring\MPM Wells\PE_4|MeterA.gas.AccMassTotal",A23,"","interpolated")</f>
        <v>1716.7429550754905</v>
      </c>
      <c r="J23" s="85" cm="1">
        <f t="array" ref="J23">_xll.PITimeDat("\\AFBRA\BRA\Performance Monitoring\MPM Wells\PE_4|MeterA.gas.AccMassTotal",B23,"","interpolated")</f>
        <v>1769.1207875047446</v>
      </c>
      <c r="K23" s="85">
        <f t="shared" si="2"/>
        <v>52.377832429254113</v>
      </c>
      <c r="L23" s="50" cm="1">
        <f t="array" ref="L23">_xll.PITimeDat($C$65,B23,"","interpolated")</f>
        <v>0</v>
      </c>
      <c r="M23" s="87">
        <f t="shared" si="13"/>
        <v>468.33279117514695</v>
      </c>
      <c r="N23" s="87">
        <f t="shared" si="3"/>
        <v>468.33279117514695</v>
      </c>
      <c r="O23" s="50" cm="1">
        <f t="array" ref="O23">_xll.PITimeDat($C$73,B23,"","interpolated")</f>
        <v>478</v>
      </c>
      <c r="P23" s="50">
        <v>773.41</v>
      </c>
      <c r="Q23" s="50">
        <f>P23/1000*O23</f>
        <v>369.68997999999999</v>
      </c>
      <c r="R23" s="50" cm="1">
        <f t="array" ref="R23">_xll.PITimeDat($C$72,B23,"","interpolated")</f>
        <v>394</v>
      </c>
      <c r="S23" s="50" cm="1">
        <f t="array" ref="S23">_xll.PITimeDat($C$70,B23,"","interpolated")/1000</f>
        <v>106.238</v>
      </c>
      <c r="T23" s="50" cm="1">
        <f t="array" ref="T23">_xll.PITimeDat($C$71,B23,"","interpolated")/1000</f>
        <v>1E-3</v>
      </c>
      <c r="U23" s="57">
        <f t="shared" si="5"/>
        <v>0.29956922297992605</v>
      </c>
      <c r="V23" s="57">
        <f t="shared" si="6"/>
        <v>0.16826492619478728</v>
      </c>
      <c r="W23" s="57">
        <f t="shared" si="7"/>
        <v>0</v>
      </c>
      <c r="X23" s="57">
        <f t="shared" si="8"/>
        <v>0.46783414917471333</v>
      </c>
      <c r="Y23" s="57">
        <f t="shared" si="9"/>
        <v>0.46783414917471333</v>
      </c>
      <c r="Z23" s="57">
        <f t="shared" si="10"/>
        <v>-0.77340999999995574</v>
      </c>
      <c r="AA23" s="57">
        <f t="shared" si="11"/>
        <v>1.300000000000523E-2</v>
      </c>
      <c r="AB23" s="57">
        <f t="shared" si="11"/>
        <v>0</v>
      </c>
      <c r="AC23" s="57">
        <f t="shared" si="14"/>
        <v>-0.76040999999995051</v>
      </c>
      <c r="AD23" s="62">
        <f t="shared" si="15"/>
        <v>-0.76040999999995051</v>
      </c>
      <c r="AE23" s="42"/>
      <c r="AF23" s="42" t="s">
        <v>288</v>
      </c>
    </row>
    <row r="24" spans="1:32" x14ac:dyDescent="0.3">
      <c r="A24" s="4">
        <v>46043.74999895833</v>
      </c>
      <c r="B24" s="4">
        <v>46043.791667650461</v>
      </c>
      <c r="C24" s="56">
        <f t="shared" si="0"/>
        <v>1.0000486111384816</v>
      </c>
      <c r="D24" s="86" cm="1">
        <f t="array" ref="D24">_xll.PITimeDat('Totalizador 24h 21_01'!$D$55,'Totalizador 24h 21_01'!$B$24,"","interpolated")</f>
        <v>415.7888862252538</v>
      </c>
      <c r="E24" s="85" cm="1">
        <f t="array" ref="E24">_xll.PITimeDat("\\AFBRA\BRA\Performance Monitoring\MPM Wells\PE_4|MeterA.Oil.AccMassTotal",A24,"","interpolated")</f>
        <v>381424.0732449005</v>
      </c>
      <c r="F24" s="85" cm="1">
        <f t="array" ref="F24">_xll.PITimeDat("\\AFBRA\BRA\Performance Monitoring\MPM Wells\PE_4|MeterA.Oil.AccMassTotal",B24,"","interpolated")</f>
        <v>381840.21665488777</v>
      </c>
      <c r="G24" s="85">
        <f t="shared" si="1"/>
        <v>416.1434099872713</v>
      </c>
      <c r="H24" s="50" cm="1">
        <f t="array" ref="H24">_xll.PITimeDat($C$55,B24,"","interpolated")</f>
        <v>52.293656056929656</v>
      </c>
      <c r="I24" s="85" cm="1">
        <f t="array" ref="I24">_xll.PITimeDat("\\AFBRA\BRA\Performance Monitoring\MPM Wells\PE_4|MeterA.gas.AccMassTotal",A24,"","interpolated")</f>
        <v>1769.1182789831428</v>
      </c>
      <c r="J24" s="85" cm="1">
        <f t="array" ref="J24">_xll.PITimeDat("\\AFBRA\BRA\Performance Monitoring\MPM Wells\PE_4|MeterA.gas.AccMassTotal",B24,"","interpolated")</f>
        <v>1821.4670204865736</v>
      </c>
      <c r="K24" s="85">
        <f t="shared" si="2"/>
        <v>52.348741503430801</v>
      </c>
      <c r="L24" s="50" cm="1">
        <f t="array" ref="L24">_xll.PITimeDat($C$65,B24,"","interpolated")</f>
        <v>0</v>
      </c>
      <c r="M24" s="87">
        <f t="shared" si="13"/>
        <v>468.08254228218345</v>
      </c>
      <c r="N24" s="87">
        <f t="shared" si="3"/>
        <v>468.08254228218345</v>
      </c>
      <c r="O24" s="50" cm="1">
        <f t="array" ref="O24">_xll.PITimeDat($C$73,B24,"","interpolated")</f>
        <v>478</v>
      </c>
      <c r="P24" s="50">
        <v>773.41</v>
      </c>
      <c r="Q24" s="50">
        <f>P24/1000*O24</f>
        <v>369.68997999999999</v>
      </c>
      <c r="R24" s="50" cm="1">
        <f t="array" ref="R24">_xll.PITimeDat($C$72,B24,"","interpolated")</f>
        <v>394</v>
      </c>
      <c r="S24" s="50" cm="1">
        <f t="array" ref="S24">_xll.PITimeDat($C$70,B24,"","interpolated")/1000</f>
        <v>106.233</v>
      </c>
      <c r="T24" s="50" cm="1">
        <f t="array" ref="T24">_xll.PITimeDat($C$71,B24,"","interpolated")/1000</f>
        <v>1E-3</v>
      </c>
      <c r="U24" s="57">
        <f t="shared" si="5"/>
        <v>-0.15174216543101693</v>
      </c>
      <c r="V24" s="57">
        <f t="shared" si="6"/>
        <v>-9.8506727532480909E-2</v>
      </c>
      <c r="W24" s="57">
        <f t="shared" si="7"/>
        <v>0</v>
      </c>
      <c r="X24" s="57">
        <f t="shared" si="8"/>
        <v>-0.25024889296349784</v>
      </c>
      <c r="Y24" s="57">
        <f t="shared" si="9"/>
        <v>-0.25024889296349784</v>
      </c>
      <c r="Z24" s="57">
        <f t="shared" si="10"/>
        <v>0</v>
      </c>
      <c r="AA24" s="57">
        <f t="shared" si="11"/>
        <v>-4.9999999999954525E-3</v>
      </c>
      <c r="AB24" s="57">
        <f t="shared" si="11"/>
        <v>0</v>
      </c>
      <c r="AC24" s="57">
        <f t="shared" si="14"/>
        <v>-4.9999999999954525E-3</v>
      </c>
      <c r="AD24" s="62">
        <f t="shared" si="15"/>
        <v>-4.9999999999954525E-3</v>
      </c>
      <c r="AE24" s="42"/>
      <c r="AF24" s="42" t="s">
        <v>288</v>
      </c>
    </row>
    <row r="25" spans="1:32" x14ac:dyDescent="0.3">
      <c r="A25" s="4">
        <v>46043.791665567129</v>
      </c>
      <c r="B25" s="4">
        <v>46043.833334374998</v>
      </c>
      <c r="C25" s="56">
        <f t="shared" si="0"/>
        <v>1.0000513888662681</v>
      </c>
      <c r="D25" s="86" cm="1">
        <f t="array" ref="D25">_xll.PITimeDat('Totalizador 24h 21_01'!$D$55,'Totalizador 24h 21_01'!$B$25,"","interpolated")</f>
        <v>415.96883694390556</v>
      </c>
      <c r="E25" s="85" cm="1">
        <f t="array" ref="E25">_xll.PITimeDat("\\AFBRA\BRA\Performance Monitoring\MPM Wells\PE_4|MeterA.Oil.AccMassTotal",A25,"","interpolated")</f>
        <v>381840.19473259361</v>
      </c>
      <c r="F25" s="85" cm="1">
        <f t="array" ref="F25">_xll.PITimeDat("\\AFBRA\BRA\Performance Monitoring\MPM Wells\PE_4|MeterA.Oil.AccMassTotal",B25,"","interpolated")</f>
        <v>382256.18503950397</v>
      </c>
      <c r="G25" s="85">
        <f t="shared" si="1"/>
        <v>415.99030691036023</v>
      </c>
      <c r="H25" s="50" cm="1">
        <f t="array" ref="H25">_xll.PITimeDat($C$55,B25,"","interpolated")</f>
        <v>52.415193520770273</v>
      </c>
      <c r="I25" s="85" cm="1">
        <f t="array" ref="I25">_xll.PITimeDat("\\AFBRA\BRA\Performance Monitoring\MPM Wells\PE_4|MeterA.gas.AccMassTotal",A25,"","interpolated")</f>
        <v>1821.4642985559881</v>
      </c>
      <c r="J25" s="85" cm="1">
        <f t="array" ref="J25">_xll.PITimeDat("\\AFBRA\BRA\Performance Monitoring\MPM Wells\PE_4|MeterA.gas.AccMassTotal",B25,"","interpolated")</f>
        <v>1873.8680500290359</v>
      </c>
      <c r="K25" s="85">
        <f t="shared" si="2"/>
        <v>52.403751473047805</v>
      </c>
      <c r="L25" s="50" cm="1">
        <f t="array" ref="L25">_xll.PITimeDat($C$65,B25,"","interpolated")</f>
        <v>0</v>
      </c>
      <c r="M25" s="87">
        <f t="shared" si="13"/>
        <v>468.38403046467585</v>
      </c>
      <c r="N25" s="87">
        <f t="shared" si="3"/>
        <v>468.38403046467585</v>
      </c>
      <c r="O25" s="50" cm="1">
        <f t="array" ref="O25">_xll.PITimeDat($C$73,B25,"","interpolated")</f>
        <v>478</v>
      </c>
      <c r="P25" s="50">
        <v>773.41</v>
      </c>
      <c r="Q25" s="50">
        <f t="shared" ref="Q25:Q30" si="16">P25/1000*O25</f>
        <v>369.68997999999999</v>
      </c>
      <c r="R25" s="50" cm="1">
        <f t="array" ref="R25">_xll.PITimeDat($C$72,B25,"","interpolated")</f>
        <v>394</v>
      </c>
      <c r="S25" s="50" cm="1">
        <f t="array" ref="S25">_xll.PITimeDat($C$70,B25,"","interpolated")/1000</f>
        <v>106.29</v>
      </c>
      <c r="T25" s="50" cm="1">
        <f t="array" ref="T25">_xll.PITimeDat($C$71,B25,"","interpolated")/1000</f>
        <v>1E-3</v>
      </c>
      <c r="U25" s="57">
        <f t="shared" si="5"/>
        <v>0.17995071865175305</v>
      </c>
      <c r="V25" s="57">
        <f t="shared" si="6"/>
        <v>0.12153746384061748</v>
      </c>
      <c r="W25" s="57">
        <f t="shared" si="7"/>
        <v>0</v>
      </c>
      <c r="X25" s="57">
        <f t="shared" si="8"/>
        <v>0.30148818249237053</v>
      </c>
      <c r="Y25" s="57">
        <f t="shared" si="9"/>
        <v>0.30148818249237053</v>
      </c>
      <c r="Z25" s="57">
        <f t="shared" si="10"/>
        <v>0</v>
      </c>
      <c r="AA25" s="57">
        <f t="shared" si="11"/>
        <v>5.700000000000216E-2</v>
      </c>
      <c r="AB25" s="57">
        <f t="shared" si="11"/>
        <v>0</v>
      </c>
      <c r="AC25" s="57">
        <f t="shared" si="14"/>
        <v>5.700000000000216E-2</v>
      </c>
      <c r="AD25" s="62">
        <f t="shared" si="15"/>
        <v>5.700000000000216E-2</v>
      </c>
      <c r="AE25" s="42"/>
      <c r="AF25" s="42" t="s">
        <v>288</v>
      </c>
    </row>
    <row r="26" spans="1:32" x14ac:dyDescent="0.3">
      <c r="A26" s="4">
        <v>46043.833332175927</v>
      </c>
      <c r="B26" s="4">
        <v>46043.875001099535</v>
      </c>
      <c r="C26" s="56">
        <f t="shared" si="0"/>
        <v>1.0000541665940545</v>
      </c>
      <c r="D26" s="86" cm="1">
        <f t="array" ref="D26">_xll.PITimeDat('Totalizador 24h 21_01'!$D$55,'Totalizador 24h 21_01'!$B$26,"","interpolated")</f>
        <v>420.73202720482766</v>
      </c>
      <c r="E26" s="85" cm="1">
        <f t="array" ref="E26">_xll.PITimeDat("\\AFBRA\BRA\Performance Monitoring\MPM Wells\PE_4|MeterA.Oil.AccMassTotal",A26,"","interpolated")</f>
        <v>382256.1628752962</v>
      </c>
      <c r="F26" s="85" cm="1">
        <f t="array" ref="F26">_xll.PITimeDat("\\AFBRA\BRA\Performance Monitoring\MPM Wells\PE_4|MeterA.Oil.AccMassTotal",B26,"","interpolated")</f>
        <v>382676.83518905618</v>
      </c>
      <c r="G26" s="85">
        <f t="shared" si="1"/>
        <v>420.67231375997653</v>
      </c>
      <c r="H26" s="50" cm="1">
        <f t="array" ref="H26">_xll.PITimeDat($C$55,B26,"","interpolated")</f>
        <v>55.559289133047358</v>
      </c>
      <c r="I26" s="85" cm="1">
        <f t="array" ref="I26">_xll.PITimeDat("\\AFBRA\BRA\Performance Monitoring\MPM Wells\PE_4|MeterA.gas.AccMassTotal",A26,"","interpolated")</f>
        <v>1873.8650313373746</v>
      </c>
      <c r="J26" s="85" cm="1">
        <f t="array" ref="J26">_xll.PITimeDat("\\AFBRA\BRA\Performance Monitoring\MPM Wells\PE_4|MeterA.gas.AccMassTotal",B26,"","interpolated")</f>
        <v>1929.4142548076618</v>
      </c>
      <c r="K26" s="85">
        <f t="shared" si="2"/>
        <v>55.549223470287188</v>
      </c>
      <c r="L26" s="50" cm="1">
        <f t="array" ref="L26">_xll.PITimeDat($C$65,B26,"","interpolated")</f>
        <v>0</v>
      </c>
      <c r="M26" s="87">
        <f t="shared" si="13"/>
        <v>476.291316337875</v>
      </c>
      <c r="N26" s="87">
        <f t="shared" si="3"/>
        <v>476.291316337875</v>
      </c>
      <c r="O26" s="50" cm="1">
        <f t="array" ref="O26">_xll.PITimeDat($C$73,B26,"","interpolated")</f>
        <v>485</v>
      </c>
      <c r="P26" s="50">
        <v>773.41</v>
      </c>
      <c r="Q26" s="50">
        <f t="shared" si="16"/>
        <v>375.10384999999997</v>
      </c>
      <c r="R26" s="50" cm="1">
        <f t="array" ref="R26">_xll.PITimeDat($C$72,B26,"","interpolated")</f>
        <v>400</v>
      </c>
      <c r="S26" s="50" cm="1">
        <f t="array" ref="S26">_xll.PITimeDat($C$70,B26,"","interpolated")/1000</f>
        <v>107.794</v>
      </c>
      <c r="T26" s="50" cm="1">
        <f t="array" ref="T26">_xll.PITimeDat($C$71,B26,"","interpolated")/1000</f>
        <v>1E-3</v>
      </c>
      <c r="U26" s="57">
        <f t="shared" si="5"/>
        <v>4.7631902609221015</v>
      </c>
      <c r="V26" s="57">
        <f t="shared" si="6"/>
        <v>3.1440956122770842</v>
      </c>
      <c r="W26" s="57">
        <f t="shared" si="7"/>
        <v>0</v>
      </c>
      <c r="X26" s="57">
        <f t="shared" si="8"/>
        <v>7.9072858731991857</v>
      </c>
      <c r="Y26" s="57">
        <f t="shared" si="9"/>
        <v>7.9072858731991857</v>
      </c>
      <c r="Z26" s="57">
        <f t="shared" si="10"/>
        <v>5.4138699999999744</v>
      </c>
      <c r="AA26" s="57">
        <f t="shared" si="11"/>
        <v>1.5039999999999907</v>
      </c>
      <c r="AB26" s="57">
        <f t="shared" si="11"/>
        <v>0</v>
      </c>
      <c r="AC26" s="57">
        <f t="shared" si="14"/>
        <v>6.9178699999999651</v>
      </c>
      <c r="AD26" s="62">
        <f t="shared" si="15"/>
        <v>6.9178699999999651</v>
      </c>
      <c r="AE26" s="42"/>
      <c r="AF26" s="42" t="s">
        <v>288</v>
      </c>
    </row>
    <row r="27" spans="1:32" x14ac:dyDescent="0.3">
      <c r="A27" s="4">
        <v>46043.874998784719</v>
      </c>
      <c r="B27" s="4">
        <v>46043.916667824073</v>
      </c>
      <c r="C27" s="56">
        <f t="shared" si="0"/>
        <v>1.000056944496464</v>
      </c>
      <c r="D27" s="86" cm="1">
        <f t="array" ref="D27">_xll.PITimeDat('Totalizador 24h 21_01'!$D$55,'Totalizador 24h 21_01'!$B$27,"","interpolated")</f>
        <v>429.46552952673102</v>
      </c>
      <c r="E27" s="85" cm="1">
        <f t="array" ref="E27">_xll.PITimeDat("\\AFBRA\BRA\Performance Monitoring\MPM Wells\PE_4|MeterA.Oil.AccMassTotal",A27,"","interpolated")</f>
        <v>382676.81133537507</v>
      </c>
      <c r="F27" s="85" cm="1">
        <f t="array" ref="F27">_xll.PITimeDat("\\AFBRA\BRA\Performance Monitoring\MPM Wells\PE_4|MeterA.Oil.AccMassTotal",B27,"","interpolated")</f>
        <v>383106.12490538735</v>
      </c>
      <c r="G27" s="85">
        <f t="shared" si="1"/>
        <v>429.31357001228025</v>
      </c>
      <c r="H27" s="50" cm="1">
        <f t="array" ref="H27">_xll.PITimeDat($C$55,B27,"","interpolated")</f>
        <v>59.855243151182947</v>
      </c>
      <c r="I27" s="85" cm="1">
        <f t="array" ref="I27">_xll.PITimeDat("\\AFBRA\BRA\Performance Monitoring\MPM Wells\PE_4|MeterA.gas.AccMassTotal",A27,"","interpolated")</f>
        <v>1929.4111005072973</v>
      </c>
      <c r="J27" s="85" cm="1">
        <f t="array" ref="J27">_xll.PITimeDat("\\AFBRA\BRA\Performance Monitoring\MPM Wells\PE_4|MeterA.gas.AccMassTotal",B27,"","interpolated")</f>
        <v>1989.2979168311324</v>
      </c>
      <c r="K27" s="85">
        <f t="shared" si="2"/>
        <v>59.886816323835092</v>
      </c>
      <c r="L27" s="50" cm="1">
        <f t="array" ref="L27">_xll.PITimeDat($C$65,B27,"","interpolated")</f>
        <v>0</v>
      </c>
      <c r="M27" s="87">
        <f t="shared" si="13"/>
        <v>489.32077267791396</v>
      </c>
      <c r="N27" s="87">
        <f t="shared" si="3"/>
        <v>489.32077267791396</v>
      </c>
      <c r="O27" s="50" cm="1">
        <f t="array" ref="O27">_xll.PITimeDat($C$73,B27,"","interpolated")</f>
        <v>499</v>
      </c>
      <c r="P27" s="50">
        <v>773.41</v>
      </c>
      <c r="Q27" s="50">
        <f t="shared" si="16"/>
        <v>385.93158999999997</v>
      </c>
      <c r="R27" s="50" cm="1">
        <f t="array" ref="R27">_xll.PITimeDat($C$72,B27,"","interpolated")</f>
        <v>411</v>
      </c>
      <c r="S27" s="50" cm="1">
        <f t="array" ref="S27">_xll.PITimeDat($C$70,B27,"","interpolated")/1000</f>
        <v>110.43</v>
      </c>
      <c r="T27" s="50" cm="1">
        <f t="array" ref="T27">_xll.PITimeDat($C$71,B27,"","interpolated")/1000</f>
        <v>2E-3</v>
      </c>
      <c r="U27" s="57">
        <f t="shared" si="5"/>
        <v>8.7335023219033587</v>
      </c>
      <c r="V27" s="57">
        <f t="shared" si="6"/>
        <v>4.2959540181355891</v>
      </c>
      <c r="W27" s="57">
        <f t="shared" si="7"/>
        <v>0</v>
      </c>
      <c r="X27" s="57">
        <f t="shared" si="8"/>
        <v>13.029456340038948</v>
      </c>
      <c r="Y27" s="57">
        <f t="shared" si="9"/>
        <v>13.029456340038948</v>
      </c>
      <c r="Z27" s="57">
        <f t="shared" si="10"/>
        <v>10.827740000000006</v>
      </c>
      <c r="AA27" s="57">
        <f t="shared" si="11"/>
        <v>2.6360000000000099</v>
      </c>
      <c r="AB27" s="57">
        <f t="shared" si="11"/>
        <v>1E-3</v>
      </c>
      <c r="AC27" s="57">
        <f t="shared" si="14"/>
        <v>13.463740000000016</v>
      </c>
      <c r="AD27" s="62">
        <f t="shared" si="15"/>
        <v>13.464740000000015</v>
      </c>
      <c r="AE27" s="42"/>
      <c r="AF27" s="42" t="s">
        <v>288</v>
      </c>
    </row>
    <row r="28" spans="1:32" x14ac:dyDescent="0.3">
      <c r="A28" s="4">
        <v>46043.916665393517</v>
      </c>
      <c r="B28" s="4">
        <v>46043.95833454861</v>
      </c>
      <c r="C28" s="56">
        <f t="shared" si="0"/>
        <v>1.0000597222242504</v>
      </c>
      <c r="D28" s="86" cm="1">
        <f t="array" ref="D28">_xll.PITimeDat('Totalizador 24h 21_01'!$D$55,'Totalizador 24h 21_01'!$B$28,"","interpolated")</f>
        <v>432.40075670629398</v>
      </c>
      <c r="E28" s="85" cm="1">
        <f t="array" ref="E28">_xll.PITimeDat("\\AFBRA\BRA\Performance Monitoring\MPM Wells\PE_4|MeterA.Oil.AccMassTotal",A28,"","interpolated")</f>
        <v>383106.09871741472</v>
      </c>
      <c r="F28" s="85" cm="1">
        <f t="array" ref="F28">_xll.PITimeDat("\\AFBRA\BRA\Performance Monitoring\MPM Wells\PE_4|MeterA.Oil.AccMassTotal",B28,"","interpolated")</f>
        <v>383538.45227081532</v>
      </c>
      <c r="G28" s="85">
        <f t="shared" si="1"/>
        <v>432.35355340060778</v>
      </c>
      <c r="H28" s="50" cm="1">
        <f t="array" ref="H28">_xll.PITimeDat($C$55,B28,"","interpolated")</f>
        <v>60.804782037558823</v>
      </c>
      <c r="I28" s="85" cm="1">
        <f t="array" ref="I28">_xll.PITimeDat("\\AFBRA\BRA\Performance Monitoring\MPM Wells\PE_4|MeterA.gas.AccMassTotal",A28,"","interpolated")</f>
        <v>1989.2940876676951</v>
      </c>
      <c r="J28" s="85" cm="1">
        <f t="array" ref="J28">_xll.PITimeDat("\\AFBRA\BRA\Performance Monitoring\MPM Wells\PE_4|MeterA.gas.AccMassTotal",B28,"","interpolated")</f>
        <v>2050.072202982587</v>
      </c>
      <c r="K28" s="85">
        <f t="shared" si="2"/>
        <v>60.77811531489192</v>
      </c>
      <c r="L28" s="50" cm="1">
        <f t="array" ref="L28">_xll.PITimeDat($C$65,B28,"","interpolated")</f>
        <v>0</v>
      </c>
      <c r="M28" s="87">
        <f t="shared" si="13"/>
        <v>493.2055387438528</v>
      </c>
      <c r="N28" s="87">
        <f t="shared" si="3"/>
        <v>493.2055387438528</v>
      </c>
      <c r="O28" s="50" cm="1">
        <f t="array" ref="O28">_xll.PITimeDat($C$73,B28,"","interpolated")</f>
        <v>501</v>
      </c>
      <c r="P28" s="50">
        <v>773.41</v>
      </c>
      <c r="Q28" s="50">
        <f t="shared" si="16"/>
        <v>387.47840999999994</v>
      </c>
      <c r="R28" s="50" cm="1">
        <f t="array" ref="R28">_xll.PITimeDat($C$72,B28,"","interpolated")</f>
        <v>413</v>
      </c>
      <c r="S28" s="50" cm="1">
        <f t="array" ref="S28">_xll.PITimeDat($C$70,B28,"","interpolated")/1000</f>
        <v>111.246</v>
      </c>
      <c r="T28" s="50" cm="1">
        <f t="array" ref="T28">_xll.PITimeDat($C$71,B28,"","interpolated")/1000</f>
        <v>2E-3</v>
      </c>
      <c r="U28" s="57">
        <f t="shared" si="5"/>
        <v>2.9352271795629576</v>
      </c>
      <c r="V28" s="57">
        <f t="shared" si="6"/>
        <v>0.94953888637587625</v>
      </c>
      <c r="W28" s="57">
        <f t="shared" si="7"/>
        <v>0</v>
      </c>
      <c r="X28" s="57">
        <f t="shared" si="8"/>
        <v>3.8847660659388339</v>
      </c>
      <c r="Y28" s="57">
        <f t="shared" si="9"/>
        <v>3.8847660659388339</v>
      </c>
      <c r="Z28" s="57">
        <f t="shared" si="10"/>
        <v>1.5468199999999683</v>
      </c>
      <c r="AA28" s="57">
        <f t="shared" si="11"/>
        <v>0.81599999999998829</v>
      </c>
      <c r="AB28" s="57">
        <f t="shared" si="11"/>
        <v>0</v>
      </c>
      <c r="AC28" s="57">
        <f t="shared" si="14"/>
        <v>2.3628199999999566</v>
      </c>
      <c r="AD28" s="62">
        <f t="shared" si="15"/>
        <v>2.3628199999999566</v>
      </c>
      <c r="AE28" s="42"/>
      <c r="AF28" s="42" t="s">
        <v>288</v>
      </c>
    </row>
    <row r="29" spans="1:32" x14ac:dyDescent="0.3">
      <c r="A29" s="4">
        <v>46043.958332002316</v>
      </c>
      <c r="B29" s="4">
        <v>46044.000001273147</v>
      </c>
      <c r="C29" s="56">
        <f t="shared" si="0"/>
        <v>1.0000624999520369</v>
      </c>
      <c r="D29" s="86" cm="1">
        <f t="array" ref="D29">_xll.PITimeDat('Totalizador 24h 21_01'!$D$55,'Totalizador 24h 21_01'!$B$29,"","interpolated")</f>
        <v>431.28028374635738</v>
      </c>
      <c r="E29" s="85" cm="1">
        <f t="array" ref="E29">_xll.PITimeDat("\\AFBRA\BRA\Performance Monitoring\MPM Wells\PE_4|MeterA.Oil.AccMassTotal",A29,"","interpolated")</f>
        <v>383538.42575973866</v>
      </c>
      <c r="F29" s="85" cm="1">
        <f t="array" ref="F29">_xll.PITimeDat("\\AFBRA\BRA\Performance Monitoring\MPM Wells\PE_4|MeterA.Oil.AccMassTotal",B29,"","interpolated")</f>
        <v>383969.71892278333</v>
      </c>
      <c r="G29" s="85">
        <f t="shared" si="1"/>
        <v>431.2931630446692</v>
      </c>
      <c r="H29" s="50" cm="1">
        <f t="array" ref="H29">_xll.PITimeDat($C$55,B29,"","interpolated")</f>
        <v>59.38132617565055</v>
      </c>
      <c r="I29" s="85" cm="1">
        <f t="array" ref="I29">_xll.PITimeDat("\\AFBRA\BRA\Performance Monitoring\MPM Wells\PE_4|MeterA.gas.AccMassTotal",A29,"","interpolated")</f>
        <v>2050.0687655907755</v>
      </c>
      <c r="J29" s="85" cm="1">
        <f t="array" ref="J29">_xll.PITimeDat("\\AFBRA\BRA\Performance Monitoring\MPM Wells\PE_4|MeterA.gas.AccMassTotal",B29,"","interpolated")</f>
        <v>2109.4428414092285</v>
      </c>
      <c r="K29" s="85">
        <f t="shared" si="2"/>
        <v>59.374075818453093</v>
      </c>
      <c r="L29" s="50" cm="1">
        <f t="array" ref="L29">_xll.PITimeDat($C$65,B29,"","interpolated")</f>
        <v>0</v>
      </c>
      <c r="M29" s="87">
        <f t="shared" si="13"/>
        <v>490.66160992200793</v>
      </c>
      <c r="N29" s="87">
        <f>M29+L29</f>
        <v>490.66160992200793</v>
      </c>
      <c r="O29" s="50" cm="1">
        <f t="array" ref="O29">_xll.PITimeDat($C$73,B29,"","interpolated")</f>
        <v>499</v>
      </c>
      <c r="P29" s="50">
        <v>773.41</v>
      </c>
      <c r="Q29" s="50">
        <f t="shared" si="16"/>
        <v>385.93158999999997</v>
      </c>
      <c r="R29" s="50" cm="1">
        <f t="array" ref="R29">_xll.PITimeDat($C$72,B29,"","interpolated")</f>
        <v>411</v>
      </c>
      <c r="S29" s="50" cm="1">
        <f t="array" ref="S29">_xll.PITimeDat($C$70,B29,"","interpolated")/1000</f>
        <v>110.867</v>
      </c>
      <c r="T29" s="50" cm="1">
        <f t="array" ref="T29">_xll.PITimeDat($C$71,B29,"","interpolated")/1000</f>
        <v>2E-3</v>
      </c>
      <c r="U29" s="57">
        <f t="shared" si="5"/>
        <v>-1.1204729599365919</v>
      </c>
      <c r="V29" s="57">
        <f t="shared" si="6"/>
        <v>-1.4234558619082733</v>
      </c>
      <c r="W29" s="57">
        <f t="shared" si="7"/>
        <v>0</v>
      </c>
      <c r="X29" s="57">
        <f t="shared" si="8"/>
        <v>-2.5439288218448652</v>
      </c>
      <c r="Y29" s="57">
        <f t="shared" si="9"/>
        <v>-2.5439288218448652</v>
      </c>
      <c r="Z29" s="57">
        <f t="shared" si="10"/>
        <v>-1.5468199999999683</v>
      </c>
      <c r="AA29" s="57">
        <f t="shared" si="11"/>
        <v>-0.37899999999999068</v>
      </c>
      <c r="AB29" s="57">
        <f t="shared" si="11"/>
        <v>0</v>
      </c>
      <c r="AC29" s="57">
        <f t="shared" si="14"/>
        <v>-1.925819999999959</v>
      </c>
      <c r="AD29" s="62">
        <f t="shared" si="15"/>
        <v>-1.925819999999959</v>
      </c>
      <c r="AE29" s="42"/>
      <c r="AF29" s="42" t="s">
        <v>288</v>
      </c>
    </row>
    <row r="30" spans="1:32" x14ac:dyDescent="0.3">
      <c r="A30" s="4">
        <v>46044</v>
      </c>
      <c r="B30" s="4">
        <v>46044.999988425923</v>
      </c>
      <c r="C30" s="65">
        <f t="shared" si="0"/>
        <v>23.999722222157288</v>
      </c>
      <c r="D30" s="86">
        <f>SUM(D6:D29)</f>
        <v>8826.9919855379067</v>
      </c>
      <c r="E30" s="85" cm="1">
        <f t="array" ref="E30">_xll.PITimeDat("\\AFBRA\BRA\Performance Monitoring\MPM Wells\PE_4|MeterA.Oil.AccMassTotal",A30,"interpolated")</f>
        <v>383969.70565126755</v>
      </c>
      <c r="F30" s="85" cm="1">
        <f t="array" ref="F30">_xll.PITimeDat("\\AFBRA\BRA\Performance Monitoring\MPM Wells\PE_4|MeterA.Oil.AccMassTotal",B30,"","interpolated")</f>
        <v>387704.14373445755</v>
      </c>
      <c r="G30" s="85">
        <f>F30-E30</f>
        <v>3734.4380831900053</v>
      </c>
      <c r="H30" s="50" cm="1">
        <f t="array" ref="H30">_xll.PITimeDat($C$55,B30,"","interpolated")</f>
        <v>6.4141931991511818</v>
      </c>
      <c r="I30" s="85" cm="1">
        <f t="array" ref="I30">_xll.PITimeDat("\\AFBRA\BRA\Performance Monitoring\MPM Wells\PE_4|MeterA.gas.AccMassTotal",A30,"","interpolated")</f>
        <v>2109.4410227399089</v>
      </c>
      <c r="J30" s="85" cm="1">
        <f t="array" ref="J30">_xll.PITimeDat("\\AFBRA\BRA\Performance Monitoring\MPM Wells\PE_4|MeterA.gas.AccMassTotal",B30,"","interpolated")</f>
        <v>2287.2473515480383</v>
      </c>
      <c r="K30" s="85">
        <f t="shared" si="2"/>
        <v>177.80632880812936</v>
      </c>
      <c r="L30" s="50" cm="1">
        <f t="array" ref="L30">_xll.PITimeDat($C$65,B30,"","interpolated")</f>
        <v>0</v>
      </c>
      <c r="M30" s="87">
        <f t="shared" si="13"/>
        <v>8833.4061787370574</v>
      </c>
      <c r="N30" s="87">
        <f t="shared" si="3"/>
        <v>8833.4061787370574</v>
      </c>
      <c r="O30" s="50" cm="1">
        <f t="array" ref="O30">_xll.PITimeDat($C$73,B30,"","interpolated")</f>
        <v>125</v>
      </c>
      <c r="P30" s="50">
        <v>774.41</v>
      </c>
      <c r="Q30" s="50">
        <f t="shared" si="16"/>
        <v>96.801249999999996</v>
      </c>
      <c r="R30" s="50" cm="1">
        <f t="array" ref="R30">_xll.PITimeDat($C$72,B30,"","interpolated")</f>
        <v>105</v>
      </c>
      <c r="S30" s="50" cm="1">
        <f t="array" ref="S30">_xll.PITimeDat($C$70,B30,"","interpolated")/1000</f>
        <v>26.984999999999999</v>
      </c>
      <c r="T30" s="50" cm="1">
        <f t="array" ref="T30">_xll.PITimeDat($C$71,B30,"","interpolated")/1000</f>
        <v>2E-3</v>
      </c>
      <c r="U30" s="57">
        <f t="shared" si="5"/>
        <v>8395.7117017915498</v>
      </c>
      <c r="V30" s="57">
        <f t="shared" si="6"/>
        <v>-52.967132976499371</v>
      </c>
      <c r="W30" s="57">
        <f t="shared" si="7"/>
        <v>0</v>
      </c>
      <c r="X30" s="57">
        <f t="shared" si="8"/>
        <v>8342.744568815051</v>
      </c>
      <c r="Y30" s="57">
        <f t="shared" si="9"/>
        <v>8342.744568815051</v>
      </c>
      <c r="Z30" s="57">
        <f t="shared" si="10"/>
        <v>-289.13033999999999</v>
      </c>
      <c r="AA30" s="57">
        <f t="shared" si="11"/>
        <v>-83.882000000000005</v>
      </c>
      <c r="AB30" s="57">
        <f t="shared" si="11"/>
        <v>0</v>
      </c>
      <c r="AC30" s="57">
        <f t="shared" si="14"/>
        <v>-373.01233999999999</v>
      </c>
      <c r="AD30" s="62">
        <f t="shared" si="15"/>
        <v>-373.01233999999999</v>
      </c>
      <c r="AE30" s="42"/>
      <c r="AF30" s="42" t="s">
        <v>288</v>
      </c>
    </row>
    <row r="31" spans="1:32" x14ac:dyDescent="0.3">
      <c r="A31" s="53">
        <v>45995</v>
      </c>
      <c r="B31" s="53">
        <f>A31+0.5</f>
        <v>45995.5</v>
      </c>
      <c r="D31" s="83" cm="1">
        <f t="array" ref="D31">_xll.PITimeDat($D$60,B30,"","interpolated")</f>
        <v>3739.2893188690196</v>
      </c>
      <c r="F31" s="81"/>
      <c r="G31" s="82">
        <f>SUM(G6:G29)</f>
        <v>8828.2547120255767</v>
      </c>
    </row>
    <row r="32" spans="1:32" x14ac:dyDescent="0.3">
      <c r="A32" s="164" t="s">
        <v>217</v>
      </c>
      <c r="B32" s="164"/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</row>
    <row r="33" spans="1:11" x14ac:dyDescent="0.3">
      <c r="A33" s="41" t="s">
        <v>218</v>
      </c>
      <c r="B33" s="41"/>
      <c r="C33" s="162">
        <f>SUM(C6:C29)</f>
        <v>24.000733333232347</v>
      </c>
      <c r="D33" s="166"/>
      <c r="E33" s="16"/>
      <c r="F33" s="16"/>
      <c r="G33" s="16"/>
      <c r="H33" s="16"/>
      <c r="I33" s="16"/>
      <c r="J33" s="16"/>
      <c r="K33" s="16"/>
    </row>
    <row r="34" spans="1:11" x14ac:dyDescent="0.3">
      <c r="A34" s="41" t="s">
        <v>289</v>
      </c>
      <c r="B34" s="41"/>
      <c r="C34" s="162">
        <f>SUM(U7:U30)</f>
        <v>8699.9310023529106</v>
      </c>
      <c r="D34" s="163"/>
      <c r="E34" s="16"/>
      <c r="F34" s="16"/>
      <c r="G34" s="16"/>
      <c r="H34" s="16"/>
      <c r="I34" s="16"/>
      <c r="J34" s="16"/>
      <c r="K34" s="16"/>
    </row>
    <row r="35" spans="1:11" x14ac:dyDescent="0.3">
      <c r="A35" s="41" t="s">
        <v>290</v>
      </c>
      <c r="B35" s="41"/>
      <c r="C35" s="162">
        <f>SUM(V7:V30)</f>
        <v>6.4141931991511782</v>
      </c>
      <c r="D35" s="163"/>
      <c r="E35" s="16"/>
      <c r="F35" s="16"/>
      <c r="G35" s="16"/>
      <c r="H35" s="16"/>
      <c r="I35" s="16"/>
      <c r="J35" s="16"/>
      <c r="K35" s="16"/>
    </row>
    <row r="36" spans="1:11" x14ac:dyDescent="0.3">
      <c r="A36" s="41" t="s">
        <v>291</v>
      </c>
      <c r="B36" s="41"/>
      <c r="C36" s="162">
        <f>SUM(W7:W30)</f>
        <v>-0.11477227471226087</v>
      </c>
      <c r="D36" s="163"/>
      <c r="E36" s="16"/>
      <c r="F36" s="16"/>
      <c r="G36" s="16"/>
      <c r="H36" s="16"/>
      <c r="I36" s="16"/>
      <c r="J36" s="16"/>
      <c r="K36" s="16"/>
    </row>
    <row r="37" spans="1:11" s="58" customFormat="1" x14ac:dyDescent="0.3">
      <c r="A37" s="41" t="s">
        <v>292</v>
      </c>
      <c r="B37" s="41"/>
      <c r="C37" s="167">
        <f>SUM(X7:X30)</f>
        <v>8706.3451955520632</v>
      </c>
      <c r="D37" s="168"/>
      <c r="E37" s="66"/>
      <c r="F37" s="66"/>
      <c r="G37" s="66"/>
      <c r="H37" s="66"/>
      <c r="I37" s="66"/>
      <c r="J37" s="66"/>
      <c r="K37" s="66"/>
    </row>
    <row r="38" spans="1:11" s="58" customFormat="1" x14ac:dyDescent="0.3">
      <c r="A38" s="41" t="s">
        <v>293</v>
      </c>
      <c r="B38" s="41"/>
      <c r="C38" s="167">
        <f>SUM(Y7:Y30)</f>
        <v>8706.2304232773513</v>
      </c>
      <c r="D38" s="168"/>
      <c r="E38" s="66"/>
      <c r="F38" s="66"/>
      <c r="G38" s="66"/>
      <c r="H38" s="66"/>
      <c r="I38" s="66"/>
      <c r="J38" s="66"/>
      <c r="K38" s="66"/>
    </row>
    <row r="39" spans="1:11" s="58" customFormat="1" x14ac:dyDescent="0.3">
      <c r="A39" s="41" t="s">
        <v>294</v>
      </c>
      <c r="B39" s="41"/>
      <c r="C39" s="167">
        <f>SUM(Z7:Z30)</f>
        <v>-5.2888699999999744</v>
      </c>
      <c r="D39" s="168"/>
      <c r="E39" s="66"/>
      <c r="F39" s="66"/>
      <c r="G39" s="66"/>
      <c r="H39" s="66"/>
      <c r="I39" s="66"/>
      <c r="J39" s="66"/>
      <c r="K39" s="66"/>
    </row>
    <row r="40" spans="1:11" s="58" customFormat="1" x14ac:dyDescent="0.3">
      <c r="A40" s="41" t="s">
        <v>295</v>
      </c>
      <c r="B40" s="41"/>
      <c r="C40" s="167">
        <f>SUM(AA7:AA30)</f>
        <v>-1.6350000000000051</v>
      </c>
      <c r="D40" s="168"/>
      <c r="E40" s="66"/>
      <c r="F40" s="66"/>
      <c r="G40" s="66"/>
      <c r="H40" s="66"/>
      <c r="I40" s="66"/>
      <c r="J40" s="66"/>
      <c r="K40" s="66"/>
    </row>
    <row r="41" spans="1:11" s="58" customFormat="1" x14ac:dyDescent="0.3">
      <c r="A41" s="41" t="s">
        <v>296</v>
      </c>
      <c r="B41" s="41"/>
      <c r="C41" s="167">
        <f>SUM(AB7:AB30)</f>
        <v>0</v>
      </c>
      <c r="D41" s="168"/>
      <c r="E41" s="66"/>
      <c r="F41" s="66"/>
      <c r="G41" s="66"/>
      <c r="H41" s="66"/>
      <c r="I41" s="66"/>
      <c r="J41" s="66"/>
      <c r="K41" s="66"/>
    </row>
    <row r="42" spans="1:11" s="58" customFormat="1" x14ac:dyDescent="0.3">
      <c r="A42" s="41" t="s">
        <v>297</v>
      </c>
      <c r="B42" s="41"/>
      <c r="C42" s="167">
        <f>SUM(AC7:AC30)</f>
        <v>-6.9238699999998516</v>
      </c>
      <c r="D42" s="168"/>
      <c r="E42" s="66"/>
      <c r="F42" s="66"/>
      <c r="G42" s="66"/>
      <c r="H42" s="66"/>
      <c r="I42" s="66"/>
      <c r="J42" s="66"/>
      <c r="K42" s="66"/>
    </row>
    <row r="43" spans="1:11" s="58" customFormat="1" x14ac:dyDescent="0.3">
      <c r="A43" s="41" t="s">
        <v>298</v>
      </c>
      <c r="B43" s="41"/>
      <c r="C43" s="167">
        <f>SUM(AD7:AD30)</f>
        <v>-6.9238699999998516</v>
      </c>
      <c r="D43" s="168"/>
      <c r="E43" s="66"/>
      <c r="F43" s="66"/>
      <c r="G43" s="66"/>
      <c r="H43" s="66"/>
      <c r="I43" s="66"/>
      <c r="J43" s="66"/>
      <c r="K43" s="66"/>
    </row>
    <row r="44" spans="1:11" s="58" customFormat="1" x14ac:dyDescent="0.3">
      <c r="C44" s="59"/>
    </row>
    <row r="45" spans="1:11" s="58" customFormat="1" x14ac:dyDescent="0.3">
      <c r="C45" s="59"/>
    </row>
    <row r="46" spans="1:11" s="58" customFormat="1" x14ac:dyDescent="0.3">
      <c r="C46" s="59"/>
    </row>
    <row r="47" spans="1:11" s="58" customFormat="1" hidden="1" x14ac:dyDescent="0.3">
      <c r="A47" s="58" t="e" vm="1">
        <v>#VALUE!</v>
      </c>
      <c r="C47" s="59"/>
    </row>
    <row r="48" spans="1:11" s="58" customFormat="1" hidden="1" x14ac:dyDescent="0.3">
      <c r="C48" s="59"/>
    </row>
    <row r="49" spans="1:16" s="58" customFormat="1" hidden="1" x14ac:dyDescent="0.3">
      <c r="C49" s="59"/>
    </row>
    <row r="50" spans="1:16" s="58" customFormat="1" hidden="1" x14ac:dyDescent="0.3">
      <c r="A50" s="67"/>
      <c r="B50" s="67"/>
      <c r="C50" s="68"/>
      <c r="D50" s="67"/>
      <c r="E50" s="67"/>
      <c r="F50" s="67"/>
      <c r="G50" s="67"/>
      <c r="H50" s="67"/>
      <c r="I50" s="67"/>
      <c r="J50" s="67"/>
      <c r="K50" s="67"/>
    </row>
    <row r="51" spans="1:16" s="58" customFormat="1" hidden="1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1"/>
      <c r="M51" s="61"/>
      <c r="N51" s="61"/>
      <c r="O51" s="61"/>
      <c r="P51" s="61"/>
    </row>
    <row r="52" spans="1:16" s="58" customFormat="1" hidden="1" x14ac:dyDescent="0.3">
      <c r="A52" s="158" t="s">
        <v>230</v>
      </c>
      <c r="B52" s="158"/>
      <c r="C52" s="158"/>
      <c r="D52" s="158"/>
      <c r="E52" s="158"/>
      <c r="F52" s="158"/>
      <c r="G52" s="158"/>
      <c r="H52" s="158"/>
      <c r="I52" s="80"/>
      <c r="J52" s="80"/>
      <c r="K52" s="80"/>
      <c r="L52" s="61"/>
      <c r="M52" s="61"/>
      <c r="N52" s="61"/>
      <c r="O52" s="61"/>
      <c r="P52" s="61"/>
    </row>
    <row r="53" spans="1:16" s="58" customFormat="1" hidden="1" x14ac:dyDescent="0.3">
      <c r="A53" s="69"/>
      <c r="B53" s="69"/>
      <c r="C53" s="69" t="s">
        <v>231</v>
      </c>
      <c r="D53" s="69" t="s">
        <v>232</v>
      </c>
      <c r="E53" s="67"/>
      <c r="F53" s="67"/>
      <c r="G53" s="67"/>
      <c r="H53" s="69" t="s">
        <v>233</v>
      </c>
      <c r="I53" s="69"/>
      <c r="J53" s="69"/>
      <c r="K53" s="69"/>
      <c r="L53" s="61" t="s">
        <v>234</v>
      </c>
      <c r="M53" s="61"/>
      <c r="N53" s="61"/>
      <c r="O53" s="61"/>
      <c r="P53" s="61"/>
    </row>
    <row r="54" spans="1:16" s="58" customFormat="1" hidden="1" x14ac:dyDescent="0.3">
      <c r="A54" s="70" t="s">
        <v>235</v>
      </c>
      <c r="B54" s="70" t="s">
        <v>236</v>
      </c>
      <c r="C54" s="70" t="s">
        <v>237</v>
      </c>
      <c r="D54" s="70" t="s">
        <v>238</v>
      </c>
      <c r="E54" s="67"/>
      <c r="F54" s="67"/>
      <c r="G54" s="67"/>
      <c r="H54" s="69" t="s">
        <v>163</v>
      </c>
      <c r="I54" s="69"/>
      <c r="J54" s="69"/>
      <c r="K54" s="69"/>
      <c r="L54" s="60" t="s">
        <v>239</v>
      </c>
      <c r="M54" s="60"/>
      <c r="N54" s="60"/>
      <c r="O54" s="60"/>
      <c r="P54" s="60"/>
    </row>
    <row r="55" spans="1:16" s="58" customFormat="1" hidden="1" x14ac:dyDescent="0.3">
      <c r="A55" s="60" t="s">
        <v>240</v>
      </c>
      <c r="B55" s="60" t="s">
        <v>236</v>
      </c>
      <c r="C55" s="60" t="s">
        <v>241</v>
      </c>
      <c r="D55" s="60" t="s">
        <v>242</v>
      </c>
      <c r="H55" s="61" t="s">
        <v>163</v>
      </c>
      <c r="I55" s="61"/>
      <c r="J55" s="61"/>
      <c r="K55" s="61"/>
      <c r="L55" s="60" t="s">
        <v>243</v>
      </c>
      <c r="M55" s="60"/>
      <c r="N55" s="60"/>
      <c r="O55" s="60"/>
      <c r="P55" s="60"/>
    </row>
    <row r="56" spans="1:16" s="58" customFormat="1" hidden="1" x14ac:dyDescent="0.3">
      <c r="A56" s="60" t="s">
        <v>244</v>
      </c>
      <c r="B56" s="60" t="s">
        <v>245</v>
      </c>
      <c r="C56" s="60" t="s">
        <v>246</v>
      </c>
      <c r="D56" s="60" t="s">
        <v>247</v>
      </c>
      <c r="H56" s="61" t="s">
        <v>163</v>
      </c>
      <c r="I56" s="61"/>
      <c r="J56" s="61"/>
      <c r="K56" s="61"/>
      <c r="L56" s="60" t="s">
        <v>248</v>
      </c>
      <c r="M56" s="60"/>
      <c r="N56" s="60"/>
      <c r="O56" s="60"/>
      <c r="P56" s="60"/>
    </row>
    <row r="57" spans="1:16" s="58" customFormat="1" hidden="1" x14ac:dyDescent="0.3">
      <c r="A57" s="60" t="s">
        <v>249</v>
      </c>
      <c r="B57" s="60" t="s">
        <v>236</v>
      </c>
      <c r="C57" s="60" t="s">
        <v>250</v>
      </c>
      <c r="D57" s="60" t="s">
        <v>251</v>
      </c>
      <c r="H57" s="61" t="s">
        <v>163</v>
      </c>
      <c r="I57" s="61"/>
      <c r="J57" s="61"/>
      <c r="K57" s="61"/>
      <c r="L57" s="60" t="s">
        <v>252</v>
      </c>
      <c r="M57" s="60"/>
      <c r="N57" s="60"/>
      <c r="O57" s="60"/>
      <c r="P57" s="60"/>
    </row>
    <row r="58" spans="1:16" s="58" customFormat="1" hidden="1" x14ac:dyDescent="0.3">
      <c r="A58" s="60" t="s">
        <v>253</v>
      </c>
      <c r="B58" s="60" t="s">
        <v>254</v>
      </c>
      <c r="C58" s="60" t="s">
        <v>255</v>
      </c>
      <c r="D58" s="60" t="s">
        <v>256</v>
      </c>
      <c r="H58" s="61" t="s">
        <v>163</v>
      </c>
      <c r="I58" s="61"/>
      <c r="J58" s="61"/>
      <c r="K58" s="61"/>
      <c r="L58" s="60" t="s">
        <v>257</v>
      </c>
      <c r="M58" s="60"/>
      <c r="N58" s="60"/>
      <c r="O58" s="60"/>
      <c r="P58" s="60"/>
    </row>
    <row r="59" spans="1:16" s="58" customFormat="1" hidden="1" x14ac:dyDescent="0.3">
      <c r="A59" s="60"/>
      <c r="B59" s="60"/>
      <c r="C59" s="60"/>
      <c r="D59" s="60"/>
      <c r="E59" s="60"/>
      <c r="F59" s="60"/>
      <c r="G59" s="60"/>
      <c r="H59" s="61"/>
      <c r="I59" s="61"/>
      <c r="J59" s="61"/>
      <c r="K59" s="61"/>
      <c r="L59" s="61"/>
      <c r="M59" s="61"/>
      <c r="N59" s="61"/>
      <c r="O59" s="61"/>
      <c r="P59" s="61"/>
    </row>
    <row r="60" spans="1:16" s="58" customFormat="1" hidden="1" x14ac:dyDescent="0.3">
      <c r="A60" s="61"/>
      <c r="B60" s="61"/>
      <c r="C60" s="61"/>
      <c r="D60" s="60" t="s">
        <v>258</v>
      </c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</row>
    <row r="61" spans="1:16" s="58" customFormat="1" hidden="1" x14ac:dyDescent="0.3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</row>
    <row r="62" spans="1:16" s="58" customFormat="1" hidden="1" x14ac:dyDescent="0.3">
      <c r="C62" s="59"/>
    </row>
    <row r="63" spans="1:16" s="58" customFormat="1" hidden="1" x14ac:dyDescent="0.3">
      <c r="C63" s="60" t="s">
        <v>234</v>
      </c>
    </row>
    <row r="64" spans="1:16" s="58" customFormat="1" hidden="1" x14ac:dyDescent="0.3">
      <c r="C64" s="60" t="s">
        <v>259</v>
      </c>
    </row>
    <row r="65" spans="3:3" s="58" customFormat="1" hidden="1" x14ac:dyDescent="0.3">
      <c r="C65" s="60" t="s">
        <v>260</v>
      </c>
    </row>
    <row r="66" spans="3:3" s="58" customFormat="1" hidden="1" x14ac:dyDescent="0.3">
      <c r="C66" s="60" t="s">
        <v>261</v>
      </c>
    </row>
    <row r="67" spans="3:3" s="58" customFormat="1" hidden="1" x14ac:dyDescent="0.3">
      <c r="C67" s="60" t="s">
        <v>262</v>
      </c>
    </row>
    <row r="68" spans="3:3" s="58" customFormat="1" hidden="1" x14ac:dyDescent="0.3">
      <c r="C68" s="60" t="s">
        <v>263</v>
      </c>
    </row>
    <row r="69" spans="3:3" s="58" customFormat="1" hidden="1" x14ac:dyDescent="0.3">
      <c r="C69" s="60" t="s">
        <v>264</v>
      </c>
    </row>
    <row r="70" spans="3:3" s="58" customFormat="1" hidden="1" x14ac:dyDescent="0.3">
      <c r="C70" s="71" t="s">
        <v>265</v>
      </c>
    </row>
    <row r="71" spans="3:3" s="58" customFormat="1" hidden="1" x14ac:dyDescent="0.3">
      <c r="C71" s="71" t="s">
        <v>266</v>
      </c>
    </row>
    <row r="72" spans="3:3" s="58" customFormat="1" hidden="1" x14ac:dyDescent="0.3">
      <c r="C72" s="71" t="s">
        <v>267</v>
      </c>
    </row>
    <row r="73" spans="3:3" s="58" customFormat="1" hidden="1" x14ac:dyDescent="0.3">
      <c r="C73" s="60" t="s">
        <v>268</v>
      </c>
    </row>
    <row r="74" spans="3:3" s="58" customFormat="1" hidden="1" x14ac:dyDescent="0.3">
      <c r="C74" s="59"/>
    </row>
    <row r="75" spans="3:3" s="58" customFormat="1" hidden="1" x14ac:dyDescent="0.3">
      <c r="C75" s="59"/>
    </row>
    <row r="76" spans="3:3" s="58" customFormat="1" hidden="1" x14ac:dyDescent="0.3">
      <c r="C76" s="59"/>
    </row>
    <row r="77" spans="3:3" s="58" customFormat="1" hidden="1" x14ac:dyDescent="0.3">
      <c r="C77" s="59"/>
    </row>
    <row r="78" spans="3:3" s="58" customFormat="1" hidden="1" x14ac:dyDescent="0.3">
      <c r="C78" s="59"/>
    </row>
    <row r="79" spans="3:3" s="58" customFormat="1" x14ac:dyDescent="0.3">
      <c r="C79" s="59"/>
    </row>
    <row r="80" spans="3:3" s="58" customFormat="1" x14ac:dyDescent="0.3">
      <c r="C80" s="59"/>
    </row>
    <row r="81" spans="3:3" s="58" customFormat="1" x14ac:dyDescent="0.3">
      <c r="C81" s="59"/>
    </row>
    <row r="82" spans="3:3" s="58" customFormat="1" x14ac:dyDescent="0.3">
      <c r="C82" s="59"/>
    </row>
    <row r="83" spans="3:3" s="58" customFormat="1" x14ac:dyDescent="0.3">
      <c r="C83" s="59"/>
    </row>
    <row r="84" spans="3:3" s="58" customFormat="1" x14ac:dyDescent="0.3">
      <c r="C84" s="59"/>
    </row>
    <row r="85" spans="3:3" s="58" customFormat="1" x14ac:dyDescent="0.3">
      <c r="C85" s="59"/>
    </row>
    <row r="86" spans="3:3" s="58" customFormat="1" x14ac:dyDescent="0.3">
      <c r="C86" s="59"/>
    </row>
    <row r="87" spans="3:3" s="58" customFormat="1" x14ac:dyDescent="0.3">
      <c r="C87" s="59"/>
    </row>
    <row r="88" spans="3:3" s="58" customFormat="1" x14ac:dyDescent="0.3">
      <c r="C88" s="59"/>
    </row>
    <row r="89" spans="3:3" s="58" customFormat="1" x14ac:dyDescent="0.3">
      <c r="C89" s="59"/>
    </row>
    <row r="90" spans="3:3" s="58" customFormat="1" x14ac:dyDescent="0.3">
      <c r="C90" s="59"/>
    </row>
    <row r="91" spans="3:3" s="58" customFormat="1" x14ac:dyDescent="0.3">
      <c r="C91" s="59"/>
    </row>
    <row r="92" spans="3:3" s="58" customFormat="1" x14ac:dyDescent="0.3">
      <c r="C92" s="59"/>
    </row>
    <row r="93" spans="3:3" s="58" customFormat="1" x14ac:dyDescent="0.3">
      <c r="C93" s="59"/>
    </row>
    <row r="94" spans="3:3" s="58" customFormat="1" x14ac:dyDescent="0.3">
      <c r="C94" s="59"/>
    </row>
    <row r="95" spans="3:3" s="58" customFormat="1" x14ac:dyDescent="0.3">
      <c r="C95" s="59"/>
    </row>
    <row r="96" spans="3:3" s="58" customFormat="1" x14ac:dyDescent="0.3">
      <c r="C96" s="59"/>
    </row>
    <row r="97" spans="3:3" s="58" customFormat="1" x14ac:dyDescent="0.3">
      <c r="C97" s="59"/>
    </row>
    <row r="98" spans="3:3" s="58" customFormat="1" x14ac:dyDescent="0.3">
      <c r="C98" s="59"/>
    </row>
    <row r="99" spans="3:3" s="58" customFormat="1" x14ac:dyDescent="0.3">
      <c r="C99" s="59"/>
    </row>
    <row r="100" spans="3:3" s="58" customFormat="1" x14ac:dyDescent="0.3">
      <c r="C100" s="59"/>
    </row>
    <row r="101" spans="3:3" s="58" customFormat="1" x14ac:dyDescent="0.3">
      <c r="C101" s="59"/>
    </row>
    <row r="102" spans="3:3" s="58" customFormat="1" x14ac:dyDescent="0.3">
      <c r="C102" s="59"/>
    </row>
    <row r="103" spans="3:3" s="58" customFormat="1" x14ac:dyDescent="0.3">
      <c r="C103" s="59"/>
    </row>
    <row r="104" spans="3:3" s="58" customFormat="1" x14ac:dyDescent="0.3">
      <c r="C104" s="59"/>
    </row>
    <row r="105" spans="3:3" s="58" customFormat="1" x14ac:dyDescent="0.3">
      <c r="C105" s="59"/>
    </row>
    <row r="106" spans="3:3" s="58" customFormat="1" x14ac:dyDescent="0.3">
      <c r="C106" s="59"/>
    </row>
    <row r="107" spans="3:3" s="58" customFormat="1" x14ac:dyDescent="0.3">
      <c r="C107" s="59"/>
    </row>
    <row r="108" spans="3:3" s="58" customFormat="1" x14ac:dyDescent="0.3">
      <c r="C108" s="59"/>
    </row>
    <row r="109" spans="3:3" s="58" customFormat="1" x14ac:dyDescent="0.3">
      <c r="C109" s="59"/>
    </row>
    <row r="110" spans="3:3" s="58" customFormat="1" x14ac:dyDescent="0.3">
      <c r="C110" s="59"/>
    </row>
    <row r="111" spans="3:3" s="58" customFormat="1" x14ac:dyDescent="0.3">
      <c r="C111" s="59"/>
    </row>
    <row r="112" spans="3:3" s="58" customFormat="1" x14ac:dyDescent="0.3">
      <c r="C112" s="59"/>
    </row>
    <row r="113" spans="3:3" s="58" customFormat="1" x14ac:dyDescent="0.3">
      <c r="C113" s="59"/>
    </row>
    <row r="114" spans="3:3" s="58" customFormat="1" x14ac:dyDescent="0.3">
      <c r="C114" s="59"/>
    </row>
    <row r="115" spans="3:3" s="58" customFormat="1" x14ac:dyDescent="0.3">
      <c r="C115" s="59"/>
    </row>
    <row r="116" spans="3:3" s="58" customFormat="1" x14ac:dyDescent="0.3">
      <c r="C116" s="59"/>
    </row>
  </sheetData>
  <mergeCells count="16">
    <mergeCell ref="C41:D41"/>
    <mergeCell ref="C42:D42"/>
    <mergeCell ref="C43:D43"/>
    <mergeCell ref="A52:H52"/>
    <mergeCell ref="C35:D35"/>
    <mergeCell ref="C36:D36"/>
    <mergeCell ref="C37:D37"/>
    <mergeCell ref="C38:D38"/>
    <mergeCell ref="C39:D39"/>
    <mergeCell ref="C40:D40"/>
    <mergeCell ref="C34:D34"/>
    <mergeCell ref="C1:AF1"/>
    <mergeCell ref="A2:AF2"/>
    <mergeCell ref="A4:AF4"/>
    <mergeCell ref="A32:T32"/>
    <mergeCell ref="C33:D33"/>
  </mergeCells>
  <conditionalFormatting sqref="C33">
    <cfRule type="expression" dxfId="8" priority="1">
      <formula>AND(C33&lt;24,C33&lt;&gt;"")</formula>
    </cfRule>
  </conditionalFormatting>
  <dataValidations disablePrompts="1" count="1">
    <dataValidation type="list" allowBlank="1" sqref="AF6:AF30" xr:uid="{390DA6C9-2900-434B-A5F5-13B39363AE8F}">
      <formula1>"OK,Alarme,Em investigação"</formula1>
    </dataValidation>
  </dataValidations>
  <pageMargins left="0.75" right="0.75" top="1" bottom="1" header="0.5" footer="0.5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5"/>
  </sheetPr>
  <dimension ref="A1:J44"/>
  <sheetViews>
    <sheetView showGridLines="0" zoomScaleNormal="100" workbookViewId="0">
      <pane ySplit="5" topLeftCell="A6" activePane="bottomLeft" state="frozen"/>
      <selection pane="bottomLeft" activeCell="B1" sqref="B1:J1"/>
    </sheetView>
  </sheetViews>
  <sheetFormatPr defaultRowHeight="14.4" x14ac:dyDescent="0.3"/>
  <cols>
    <col min="1" max="1" width="34" customWidth="1"/>
    <col min="2" max="2" width="30.44140625" customWidth="1"/>
    <col min="3" max="3" width="26" customWidth="1"/>
    <col min="4" max="4" width="33.33203125" customWidth="1"/>
    <col min="5" max="5" width="20" customWidth="1"/>
    <col min="6" max="10" width="18" customWidth="1"/>
  </cols>
  <sheetData>
    <row r="1" spans="1:10" ht="54.75" customHeight="1" x14ac:dyDescent="0.3">
      <c r="A1" s="38"/>
      <c r="B1" s="159" t="s">
        <v>562</v>
      </c>
      <c r="C1" s="159"/>
      <c r="D1" s="159"/>
      <c r="E1" s="159"/>
      <c r="F1" s="159"/>
      <c r="G1" s="159"/>
      <c r="H1" s="159"/>
      <c r="I1" s="159"/>
      <c r="J1" s="159"/>
    </row>
    <row r="2" spans="1:10" ht="19.95" customHeight="1" x14ac:dyDescent="0.35">
      <c r="A2" s="144" t="s">
        <v>299</v>
      </c>
      <c r="B2" s="145"/>
      <c r="C2" s="145"/>
      <c r="D2" s="145"/>
      <c r="E2" s="145"/>
      <c r="F2" s="145"/>
      <c r="G2" s="145"/>
      <c r="H2" s="145"/>
      <c r="I2" s="145"/>
      <c r="J2" s="145"/>
    </row>
    <row r="4" spans="1:10" x14ac:dyDescent="0.3">
      <c r="A4" s="142" t="s">
        <v>300</v>
      </c>
      <c r="B4" s="116"/>
      <c r="C4" s="116"/>
      <c r="D4" s="116"/>
      <c r="E4" s="116"/>
      <c r="F4" s="116"/>
      <c r="G4" s="116"/>
      <c r="H4" s="116"/>
      <c r="I4" s="116"/>
      <c r="J4" s="116"/>
    </row>
    <row r="5" spans="1:10" x14ac:dyDescent="0.3">
      <c r="A5" s="41" t="s">
        <v>301</v>
      </c>
      <c r="B5" s="50"/>
    </row>
    <row r="6" spans="1:10" x14ac:dyDescent="0.3">
      <c r="A6" s="41" t="s">
        <v>302</v>
      </c>
      <c r="B6" s="50"/>
    </row>
    <row r="7" spans="1:10" x14ac:dyDescent="0.3">
      <c r="A7" s="41" t="s">
        <v>303</v>
      </c>
      <c r="B7" s="75"/>
    </row>
    <row r="8" spans="1:10" x14ac:dyDescent="0.3">
      <c r="A8" s="41" t="s">
        <v>304</v>
      </c>
      <c r="B8" s="75"/>
    </row>
    <row r="10" spans="1:10" x14ac:dyDescent="0.3">
      <c r="A10" s="154" t="s">
        <v>305</v>
      </c>
      <c r="B10" s="155"/>
      <c r="C10" s="155"/>
      <c r="D10" s="155"/>
      <c r="E10" s="155"/>
      <c r="F10" s="155"/>
      <c r="G10" s="155"/>
      <c r="H10" s="155"/>
      <c r="I10" s="155"/>
      <c r="J10" s="155"/>
    </row>
    <row r="11" spans="1:10" ht="18" customHeight="1" x14ac:dyDescent="0.3">
      <c r="A11" s="40" t="s">
        <v>306</v>
      </c>
      <c r="B11" s="40" t="s">
        <v>307</v>
      </c>
      <c r="C11" s="40" t="s">
        <v>308</v>
      </c>
      <c r="D11" s="40" t="s">
        <v>193</v>
      </c>
      <c r="E11" s="40" t="s">
        <v>309</v>
      </c>
    </row>
    <row r="12" spans="1:10" x14ac:dyDescent="0.3">
      <c r="A12" s="8" t="s">
        <v>310</v>
      </c>
      <c r="B12" s="97"/>
      <c r="C12" s="97"/>
      <c r="D12" s="62"/>
      <c r="E12" s="107"/>
    </row>
    <row r="13" spans="1:10" x14ac:dyDescent="0.3">
      <c r="A13" s="8" t="s">
        <v>311</v>
      </c>
      <c r="B13" s="97"/>
      <c r="C13" s="97"/>
      <c r="D13" s="62"/>
      <c r="E13" s="107"/>
      <c r="G13" s="171"/>
    </row>
    <row r="14" spans="1:10" x14ac:dyDescent="0.3">
      <c r="A14" s="8" t="s">
        <v>312</v>
      </c>
      <c r="B14" s="97"/>
      <c r="C14" s="97"/>
      <c r="D14" s="90"/>
      <c r="E14" s="107"/>
      <c r="G14" s="171"/>
    </row>
    <row r="15" spans="1:10" x14ac:dyDescent="0.3">
      <c r="A15" s="8" t="s">
        <v>313</v>
      </c>
      <c r="B15" s="97"/>
      <c r="C15" s="97"/>
      <c r="D15" s="62"/>
      <c r="E15" s="108"/>
      <c r="G15" s="171"/>
    </row>
    <row r="16" spans="1:10" x14ac:dyDescent="0.3">
      <c r="A16" s="8" t="s">
        <v>314</v>
      </c>
      <c r="B16" s="97"/>
      <c r="C16" s="97"/>
      <c r="D16" s="62"/>
      <c r="E16" s="108"/>
    </row>
    <row r="18" spans="1:10" x14ac:dyDescent="0.3">
      <c r="A18" s="154" t="s">
        <v>315</v>
      </c>
      <c r="B18" s="155"/>
      <c r="C18" s="155"/>
      <c r="D18" s="155"/>
      <c r="E18" s="155"/>
      <c r="F18" s="155"/>
      <c r="G18" s="155"/>
      <c r="H18" s="155"/>
      <c r="I18" s="155"/>
      <c r="J18" s="155"/>
    </row>
    <row r="19" spans="1:10" ht="43.2" customHeight="1" x14ac:dyDescent="0.3">
      <c r="A19" s="99" t="s">
        <v>316</v>
      </c>
      <c r="B19" s="8"/>
      <c r="C19" s="8"/>
      <c r="D19" s="169"/>
      <c r="E19" s="170"/>
    </row>
    <row r="20" spans="1:10" ht="39.6" customHeight="1" x14ac:dyDescent="0.3">
      <c r="A20" s="8" t="s">
        <v>317</v>
      </c>
      <c r="B20" s="8"/>
      <c r="C20" s="8"/>
      <c r="D20" s="169"/>
      <c r="E20" s="170"/>
    </row>
    <row r="22" spans="1:10" x14ac:dyDescent="0.3">
      <c r="A22" s="154" t="s">
        <v>318</v>
      </c>
      <c r="B22" s="155"/>
      <c r="C22" s="155"/>
      <c r="D22" s="155"/>
      <c r="E22" s="155"/>
      <c r="F22" s="155"/>
      <c r="G22" s="155"/>
      <c r="H22" s="155"/>
      <c r="I22" s="155"/>
      <c r="J22" s="155"/>
    </row>
    <row r="23" spans="1:10" ht="18" customHeight="1" x14ac:dyDescent="0.3">
      <c r="B23" s="40" t="s">
        <v>319</v>
      </c>
      <c r="C23" s="40" t="s">
        <v>320</v>
      </c>
    </row>
    <row r="24" spans="1:10" ht="28.8" x14ac:dyDescent="0.3">
      <c r="A24" s="40" t="s">
        <v>306</v>
      </c>
      <c r="B24" s="40" t="s">
        <v>321</v>
      </c>
      <c r="C24" s="40" t="s">
        <v>322</v>
      </c>
      <c r="D24" s="40" t="s">
        <v>323</v>
      </c>
    </row>
    <row r="25" spans="1:10" x14ac:dyDescent="0.3">
      <c r="A25" s="8" t="s">
        <v>558</v>
      </c>
      <c r="B25" s="76"/>
      <c r="C25" s="76"/>
      <c r="D25" s="77"/>
    </row>
    <row r="26" spans="1:10" x14ac:dyDescent="0.3">
      <c r="A26" s="8" t="s">
        <v>559</v>
      </c>
      <c r="B26" s="76"/>
      <c r="C26" s="76"/>
      <c r="D26" s="77"/>
    </row>
    <row r="27" spans="1:10" x14ac:dyDescent="0.3">
      <c r="A27" s="8" t="s">
        <v>561</v>
      </c>
      <c r="B27" s="76"/>
      <c r="C27" s="76"/>
      <c r="D27" s="77"/>
    </row>
    <row r="28" spans="1:10" x14ac:dyDescent="0.3">
      <c r="A28" s="8" t="s">
        <v>560</v>
      </c>
      <c r="B28" s="76"/>
      <c r="C28" s="76"/>
      <c r="D28" s="77"/>
    </row>
    <row r="30" spans="1:10" ht="14.4" customHeight="1" x14ac:dyDescent="0.3">
      <c r="A30" s="172" t="s">
        <v>327</v>
      </c>
      <c r="B30" s="172"/>
      <c r="C30" s="172"/>
      <c r="D30" s="116"/>
      <c r="E30" s="116"/>
      <c r="F30" s="116"/>
      <c r="G30" s="116"/>
      <c r="H30" s="116"/>
      <c r="I30" s="116"/>
      <c r="J30" s="116"/>
    </row>
    <row r="31" spans="1:10" ht="18" customHeight="1" x14ac:dyDescent="0.3">
      <c r="A31" s="40" t="s">
        <v>306</v>
      </c>
      <c r="B31" s="40" t="s">
        <v>328</v>
      </c>
      <c r="C31" s="40" t="s">
        <v>329</v>
      </c>
      <c r="D31" s="40" t="s">
        <v>330</v>
      </c>
      <c r="E31" s="40" t="s">
        <v>308</v>
      </c>
      <c r="F31" s="40" t="s">
        <v>331</v>
      </c>
      <c r="G31" s="40" t="s">
        <v>332</v>
      </c>
      <c r="H31" s="40" t="s">
        <v>13</v>
      </c>
    </row>
    <row r="32" spans="1:10" x14ac:dyDescent="0.3">
      <c r="A32" s="8" t="s">
        <v>310</v>
      </c>
      <c r="B32" s="97"/>
      <c r="C32" s="78"/>
      <c r="D32" s="62"/>
      <c r="E32" s="73"/>
      <c r="F32" s="74"/>
      <c r="G32" s="79"/>
      <c r="H32" s="77"/>
    </row>
    <row r="33" spans="1:10" x14ac:dyDescent="0.3">
      <c r="A33" s="8" t="s">
        <v>311</v>
      </c>
      <c r="B33" s="97"/>
      <c r="C33" s="78"/>
      <c r="D33" s="62"/>
      <c r="E33" s="73"/>
      <c r="F33" s="74"/>
      <c r="G33" s="79"/>
      <c r="H33" s="77"/>
    </row>
    <row r="34" spans="1:10" x14ac:dyDescent="0.3">
      <c r="A34" s="8" t="s">
        <v>312</v>
      </c>
      <c r="B34" s="97"/>
      <c r="C34" s="78"/>
      <c r="D34" s="62"/>
      <c r="E34" s="73"/>
      <c r="F34" s="74"/>
      <c r="G34" s="79"/>
      <c r="H34" s="77"/>
    </row>
    <row r="35" spans="1:10" x14ac:dyDescent="0.3">
      <c r="A35" s="8" t="s">
        <v>333</v>
      </c>
      <c r="B35" s="97"/>
      <c r="C35" s="78"/>
      <c r="D35" s="62"/>
      <c r="E35" s="73"/>
      <c r="F35" s="74"/>
      <c r="G35" s="79"/>
      <c r="H35" s="77"/>
    </row>
    <row r="36" spans="1:10" x14ac:dyDescent="0.3">
      <c r="A36" s="8" t="s">
        <v>233</v>
      </c>
      <c r="B36" s="97"/>
      <c r="C36" s="22"/>
      <c r="D36" s="62"/>
      <c r="E36" s="73"/>
      <c r="F36" s="74"/>
      <c r="G36" s="79"/>
      <c r="H36" s="77"/>
    </row>
    <row r="39" spans="1:10" hidden="1" x14ac:dyDescent="0.3">
      <c r="A39" s="164" t="s">
        <v>334</v>
      </c>
      <c r="B39" s="165"/>
      <c r="C39" s="165"/>
      <c r="D39" s="165"/>
      <c r="E39" s="165"/>
      <c r="F39" s="165"/>
      <c r="G39" s="165"/>
      <c r="H39" s="165"/>
      <c r="I39" s="165"/>
      <c r="J39" s="165"/>
    </row>
    <row r="40" spans="1:10" ht="18" hidden="1" customHeight="1" x14ac:dyDescent="0.3">
      <c r="A40" s="40" t="s">
        <v>306</v>
      </c>
      <c r="B40" s="40" t="s">
        <v>335</v>
      </c>
      <c r="C40" s="40" t="s">
        <v>336</v>
      </c>
      <c r="D40" s="40" t="s">
        <v>337</v>
      </c>
      <c r="E40" s="40" t="s">
        <v>13</v>
      </c>
    </row>
    <row r="41" spans="1:10" hidden="1" x14ac:dyDescent="0.3">
      <c r="A41" s="7" t="s">
        <v>310</v>
      </c>
      <c r="B41" s="17">
        <f>D32</f>
        <v>0</v>
      </c>
      <c r="C41" s="14"/>
      <c r="D41" s="15" t="str">
        <f>IF(C41="","",C41-B41)</f>
        <v/>
      </c>
      <c r="E41" s="19" t="str">
        <f>IF(C41="","",IF(ABS(D41)&lt;=0.001*MAX(1,B41),"OK","Revisar"))</f>
        <v/>
      </c>
    </row>
    <row r="42" spans="1:10" hidden="1" x14ac:dyDescent="0.3">
      <c r="A42" s="7" t="s">
        <v>311</v>
      </c>
      <c r="B42" s="17">
        <f>D33</f>
        <v>0</v>
      </c>
      <c r="C42" s="14"/>
      <c r="D42" s="15" t="str">
        <f>IF(C42="","",C42-B42)</f>
        <v/>
      </c>
      <c r="E42" s="19" t="str">
        <f>IF(C42="","",IF(ABS(D42)&lt;=0.001*MAX(1,B42),"OK","Revisar"))</f>
        <v/>
      </c>
    </row>
    <row r="43" spans="1:10" hidden="1" x14ac:dyDescent="0.3">
      <c r="A43" s="7" t="s">
        <v>312</v>
      </c>
      <c r="B43" s="17">
        <f>D34</f>
        <v>0</v>
      </c>
      <c r="C43" s="14"/>
      <c r="D43" s="15" t="str">
        <f>IF(C43="","",C43-B43)</f>
        <v/>
      </c>
      <c r="E43" s="19" t="str">
        <f>IF(C43="","",IF(ABS(D43)&lt;=0.001*MAX(1,B43),"OK","Revisar"))</f>
        <v/>
      </c>
    </row>
    <row r="44" spans="1:10" hidden="1" x14ac:dyDescent="0.3"/>
  </sheetData>
  <mergeCells count="10">
    <mergeCell ref="D19:E19"/>
    <mergeCell ref="D20:E20"/>
    <mergeCell ref="B1:J1"/>
    <mergeCell ref="A2:J2"/>
    <mergeCell ref="A39:J39"/>
    <mergeCell ref="A10:J10"/>
    <mergeCell ref="A22:J22"/>
    <mergeCell ref="G13:G15"/>
    <mergeCell ref="A18:J18"/>
    <mergeCell ref="A30:C30"/>
  </mergeCells>
  <conditionalFormatting sqref="D25:D28">
    <cfRule type="expression" dxfId="7" priority="1">
      <formula>D25="Fora"</formula>
    </cfRule>
  </conditionalFormatting>
  <conditionalFormatting sqref="H32:H36">
    <cfRule type="expression" dxfId="6" priority="2">
      <formula>H32="Fora"</formula>
    </cfRule>
  </conditionalFormatting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2" tint="-0.249977111117893"/>
  </sheetPr>
  <dimension ref="A1:T20"/>
  <sheetViews>
    <sheetView showGridLines="0" workbookViewId="0">
      <pane ySplit="5" topLeftCell="A6" activePane="bottomLeft" state="frozen"/>
      <selection pane="bottomLeft" activeCell="B1" sqref="B1:T1"/>
    </sheetView>
  </sheetViews>
  <sheetFormatPr defaultRowHeight="14.4" x14ac:dyDescent="0.3"/>
  <cols>
    <col min="1" max="1" width="31.5546875" customWidth="1"/>
    <col min="2" max="3" width="20" customWidth="1"/>
    <col min="4" max="4" width="12" customWidth="1"/>
    <col min="5" max="7" width="16" customWidth="1"/>
    <col min="8" max="8" width="20.44140625" bestFit="1" customWidth="1"/>
    <col min="9" max="9" width="19.44140625" bestFit="1" customWidth="1"/>
    <col min="10" max="10" width="20.5546875" bestFit="1" customWidth="1"/>
    <col min="11" max="11" width="20.5546875" customWidth="1"/>
    <col min="12" max="12" width="20.5546875" bestFit="1" customWidth="1"/>
    <col min="13" max="15" width="20.5546875" customWidth="1"/>
    <col min="16" max="16" width="17.6640625" customWidth="1"/>
    <col min="17" max="17" width="19.33203125" customWidth="1"/>
    <col min="18" max="18" width="20.5546875" customWidth="1"/>
    <col min="19" max="19" width="17.6640625" customWidth="1"/>
    <col min="20" max="20" width="42.44140625" customWidth="1"/>
  </cols>
  <sheetData>
    <row r="1" spans="1:20" ht="54" customHeight="1" x14ac:dyDescent="0.3">
      <c r="A1" s="38"/>
      <c r="B1" s="159" t="s">
        <v>562</v>
      </c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</row>
    <row r="2" spans="1:20" ht="19.95" customHeight="1" x14ac:dyDescent="0.35">
      <c r="A2" s="144" t="s">
        <v>338</v>
      </c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</row>
    <row r="4" spans="1:20" x14ac:dyDescent="0.3">
      <c r="A4" s="160" t="s">
        <v>339</v>
      </c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</row>
    <row r="5" spans="1:20" ht="18" customHeight="1" x14ac:dyDescent="0.3">
      <c r="A5" s="6" t="s">
        <v>340</v>
      </c>
      <c r="B5" s="40" t="s">
        <v>341</v>
      </c>
      <c r="C5" s="40" t="s">
        <v>342</v>
      </c>
      <c r="D5" s="40" t="s">
        <v>343</v>
      </c>
      <c r="E5" s="109" t="s">
        <v>344</v>
      </c>
      <c r="F5" s="109" t="s">
        <v>345</v>
      </c>
      <c r="G5" s="109" t="s">
        <v>346</v>
      </c>
      <c r="H5" s="109" t="s">
        <v>347</v>
      </c>
      <c r="I5" s="109" t="s">
        <v>348</v>
      </c>
      <c r="J5" s="109" t="s">
        <v>349</v>
      </c>
      <c r="K5" s="109" t="s">
        <v>350</v>
      </c>
      <c r="L5" s="109" t="s">
        <v>351</v>
      </c>
      <c r="M5" s="40" t="s">
        <v>352</v>
      </c>
      <c r="N5" s="40" t="s">
        <v>353</v>
      </c>
      <c r="O5" s="40" t="s">
        <v>354</v>
      </c>
      <c r="P5" s="40" t="s">
        <v>355</v>
      </c>
      <c r="Q5" s="40" t="s">
        <v>356</v>
      </c>
      <c r="R5" s="40" t="s">
        <v>357</v>
      </c>
      <c r="S5" s="40" t="s">
        <v>358</v>
      </c>
      <c r="T5" s="40" t="s">
        <v>359</v>
      </c>
    </row>
    <row r="6" spans="1:20" x14ac:dyDescent="0.3">
      <c r="A6" s="110"/>
      <c r="B6" s="102"/>
      <c r="C6" s="103"/>
      <c r="D6" s="104"/>
      <c r="E6" s="104"/>
      <c r="F6" s="104"/>
      <c r="G6" s="104"/>
      <c r="H6" s="104"/>
      <c r="I6" s="104"/>
      <c r="J6" s="104"/>
      <c r="K6" s="104"/>
      <c r="L6" s="104"/>
      <c r="M6" s="65"/>
      <c r="N6" s="65"/>
      <c r="O6" s="65"/>
      <c r="P6" s="65"/>
      <c r="Q6" s="65"/>
      <c r="R6" s="65"/>
      <c r="S6" s="65"/>
      <c r="T6" s="105"/>
    </row>
    <row r="7" spans="1:20" x14ac:dyDescent="0.3">
      <c r="A7" s="110"/>
      <c r="B7" s="102"/>
      <c r="C7" s="103"/>
      <c r="D7" s="104"/>
      <c r="E7" s="104"/>
      <c r="F7" s="104"/>
      <c r="G7" s="104"/>
      <c r="H7" s="104"/>
      <c r="I7" s="104"/>
      <c r="J7" s="104"/>
      <c r="K7" s="104"/>
      <c r="L7" s="104"/>
      <c r="M7" s="65"/>
      <c r="N7" s="65"/>
      <c r="O7" s="65"/>
      <c r="P7" s="65"/>
      <c r="Q7" s="65"/>
      <c r="R7" s="65"/>
      <c r="S7" s="65"/>
      <c r="T7" s="105"/>
    </row>
    <row r="8" spans="1:20" x14ac:dyDescent="0.3">
      <c r="A8" s="110"/>
      <c r="B8" s="106"/>
      <c r="C8" s="106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5"/>
    </row>
    <row r="9" spans="1:20" x14ac:dyDescent="0.3">
      <c r="A9" s="110"/>
      <c r="B9" s="106"/>
      <c r="C9" s="106"/>
      <c r="D9" s="104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5"/>
    </row>
    <row r="10" spans="1:20" x14ac:dyDescent="0.3">
      <c r="A10" s="110"/>
      <c r="B10" s="106"/>
      <c r="C10" s="106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5"/>
    </row>
    <row r="11" spans="1:20" x14ac:dyDescent="0.3">
      <c r="A11" s="110"/>
      <c r="B11" s="102"/>
      <c r="C11" s="103"/>
      <c r="D11" s="104"/>
      <c r="E11" s="104"/>
      <c r="F11" s="104"/>
      <c r="G11" s="104"/>
      <c r="H11" s="104"/>
      <c r="I11" s="104"/>
      <c r="J11" s="104"/>
      <c r="K11" s="104"/>
      <c r="L11" s="104"/>
      <c r="M11" s="111"/>
      <c r="N11" s="111"/>
      <c r="O11" s="111"/>
      <c r="P11" s="65"/>
      <c r="Q11" s="65"/>
      <c r="R11" s="65"/>
      <c r="S11" s="65"/>
      <c r="T11" s="105"/>
    </row>
    <row r="12" spans="1:20" x14ac:dyDescent="0.3">
      <c r="A12" s="101"/>
      <c r="B12" s="106"/>
      <c r="C12" s="106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5"/>
    </row>
    <row r="13" spans="1:20" x14ac:dyDescent="0.3">
      <c r="A13" s="101"/>
      <c r="B13" s="106"/>
      <c r="C13" s="106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5"/>
    </row>
    <row r="14" spans="1:20" x14ac:dyDescent="0.3">
      <c r="A14" s="101"/>
      <c r="B14" s="106"/>
      <c r="C14" s="106"/>
      <c r="D14" s="104" t="str">
        <f t="shared" ref="D14:D20" si="0">IF(OR(B14="",C14=""),"", (C14-B14)*24)</f>
        <v/>
      </c>
      <c r="E14" s="104"/>
      <c r="F14" s="104"/>
      <c r="G14" s="104"/>
      <c r="H14" s="104" t="str">
        <f>IF(E14="","",E14*K_Fatores!C25)</f>
        <v/>
      </c>
      <c r="I14" s="104" t="str">
        <f>IF(F14="","",F14*K_Fatores!C26)</f>
        <v/>
      </c>
      <c r="J14" s="104" t="str">
        <f>IF(G14="","",G14*K_Fatores!C27)</f>
        <v/>
      </c>
      <c r="K14" s="104"/>
      <c r="L14" s="104" t="str">
        <f t="shared" ref="L14:L20" si="1">IF(OR(H14="",I14="",J14=""),"",H14+I14+J14)</f>
        <v/>
      </c>
      <c r="M14" s="104"/>
      <c r="N14" s="104"/>
      <c r="O14" s="104"/>
      <c r="P14" s="104"/>
      <c r="Q14" s="104"/>
      <c r="R14" s="104" t="str">
        <f t="shared" ref="R14:S20" si="2">IF(P14=0,"",(K14/P14-1)*100)</f>
        <v/>
      </c>
      <c r="S14" s="104" t="str">
        <f t="shared" si="2"/>
        <v/>
      </c>
      <c r="T14" s="105"/>
    </row>
    <row r="15" spans="1:20" x14ac:dyDescent="0.3">
      <c r="A15" s="101"/>
      <c r="B15" s="106"/>
      <c r="C15" s="106"/>
      <c r="D15" s="104" t="str">
        <f t="shared" si="0"/>
        <v/>
      </c>
      <c r="E15" s="104"/>
      <c r="F15" s="104"/>
      <c r="G15" s="104"/>
      <c r="H15" s="104" t="str">
        <f>IF(E15="","",E15*K_Fatores!C25)</f>
        <v/>
      </c>
      <c r="I15" s="104" t="str">
        <f>IF(F15="","",F15*K_Fatores!C26)</f>
        <v/>
      </c>
      <c r="J15" s="104" t="str">
        <f>IF(G15="","",G15*K_Fatores!C27)</f>
        <v/>
      </c>
      <c r="K15" s="104"/>
      <c r="L15" s="104" t="str">
        <f t="shared" si="1"/>
        <v/>
      </c>
      <c r="M15" s="104"/>
      <c r="N15" s="104"/>
      <c r="O15" s="104"/>
      <c r="P15" s="104"/>
      <c r="Q15" s="104"/>
      <c r="R15" s="104" t="str">
        <f t="shared" si="2"/>
        <v/>
      </c>
      <c r="S15" s="104" t="str">
        <f t="shared" si="2"/>
        <v/>
      </c>
      <c r="T15" s="105"/>
    </row>
    <row r="16" spans="1:20" x14ac:dyDescent="0.3">
      <c r="A16" s="101"/>
      <c r="B16" s="106"/>
      <c r="C16" s="106"/>
      <c r="D16" s="104" t="str">
        <f t="shared" si="0"/>
        <v/>
      </c>
      <c r="E16" s="104"/>
      <c r="F16" s="104"/>
      <c r="G16" s="104"/>
      <c r="H16" s="104" t="str">
        <f>IF(E16="","",E16*K_Fatores!C25)</f>
        <v/>
      </c>
      <c r="I16" s="104" t="str">
        <f>IF(F16="","",F16*K_Fatores!C26)</f>
        <v/>
      </c>
      <c r="J16" s="104" t="str">
        <f>IF(G16="","",G16*K_Fatores!C27)</f>
        <v/>
      </c>
      <c r="K16" s="104"/>
      <c r="L16" s="104" t="str">
        <f t="shared" si="1"/>
        <v/>
      </c>
      <c r="M16" s="104"/>
      <c r="N16" s="104"/>
      <c r="O16" s="104"/>
      <c r="P16" s="104"/>
      <c r="Q16" s="104"/>
      <c r="R16" s="104" t="str">
        <f t="shared" si="2"/>
        <v/>
      </c>
      <c r="S16" s="104" t="str">
        <f t="shared" si="2"/>
        <v/>
      </c>
      <c r="T16" s="105"/>
    </row>
    <row r="17" spans="1:20" x14ac:dyDescent="0.3">
      <c r="A17" s="101"/>
      <c r="B17" s="106"/>
      <c r="C17" s="106"/>
      <c r="D17" s="104" t="str">
        <f t="shared" si="0"/>
        <v/>
      </c>
      <c r="E17" s="104"/>
      <c r="F17" s="104"/>
      <c r="G17" s="104"/>
      <c r="H17" s="104" t="str">
        <f>IF(E17="","",E17*K_Fatores!C25)</f>
        <v/>
      </c>
      <c r="I17" s="104" t="str">
        <f>IF(F17="","",F17*K_Fatores!C26)</f>
        <v/>
      </c>
      <c r="J17" s="104" t="str">
        <f>IF(G17="","",G17*K_Fatores!C27)</f>
        <v/>
      </c>
      <c r="K17" s="104"/>
      <c r="L17" s="104" t="str">
        <f t="shared" si="1"/>
        <v/>
      </c>
      <c r="M17" s="104"/>
      <c r="N17" s="104"/>
      <c r="O17" s="104"/>
      <c r="P17" s="104"/>
      <c r="Q17" s="104"/>
      <c r="R17" s="104" t="str">
        <f t="shared" si="2"/>
        <v/>
      </c>
      <c r="S17" s="104" t="str">
        <f t="shared" si="2"/>
        <v/>
      </c>
      <c r="T17" s="105"/>
    </row>
    <row r="18" spans="1:20" x14ac:dyDescent="0.3">
      <c r="A18" s="101"/>
      <c r="B18" s="106"/>
      <c r="C18" s="106"/>
      <c r="D18" s="104" t="str">
        <f t="shared" si="0"/>
        <v/>
      </c>
      <c r="E18" s="104"/>
      <c r="F18" s="104"/>
      <c r="G18" s="104"/>
      <c r="H18" s="104" t="str">
        <f>IF(E18="","",E18*K_Fatores!C25)</f>
        <v/>
      </c>
      <c r="I18" s="104" t="str">
        <f>IF(F18="","",F18*K_Fatores!C26)</f>
        <v/>
      </c>
      <c r="J18" s="104" t="str">
        <f>IF(G18="","",G18*K_Fatores!C27)</f>
        <v/>
      </c>
      <c r="K18" s="104"/>
      <c r="L18" s="104" t="str">
        <f t="shared" si="1"/>
        <v/>
      </c>
      <c r="M18" s="104"/>
      <c r="N18" s="104"/>
      <c r="O18" s="104"/>
      <c r="P18" s="104"/>
      <c r="Q18" s="104"/>
      <c r="R18" s="104" t="str">
        <f t="shared" si="2"/>
        <v/>
      </c>
      <c r="S18" s="104" t="str">
        <f t="shared" si="2"/>
        <v/>
      </c>
      <c r="T18" s="105"/>
    </row>
    <row r="19" spans="1:20" x14ac:dyDescent="0.3">
      <c r="A19" s="101"/>
      <c r="B19" s="106"/>
      <c r="C19" s="106"/>
      <c r="D19" s="104" t="str">
        <f t="shared" si="0"/>
        <v/>
      </c>
      <c r="E19" s="104"/>
      <c r="F19" s="104"/>
      <c r="G19" s="104"/>
      <c r="H19" s="104" t="str">
        <f>IF(E19="","",E19*K_Fatores!C25)</f>
        <v/>
      </c>
      <c r="I19" s="104" t="str">
        <f>IF(F19="","",F19*K_Fatores!C26)</f>
        <v/>
      </c>
      <c r="J19" s="104" t="str">
        <f>IF(G19="","",G19*K_Fatores!C27)</f>
        <v/>
      </c>
      <c r="K19" s="104"/>
      <c r="L19" s="104" t="str">
        <f t="shared" si="1"/>
        <v/>
      </c>
      <c r="M19" s="104"/>
      <c r="N19" s="104"/>
      <c r="O19" s="104"/>
      <c r="P19" s="104"/>
      <c r="Q19" s="104"/>
      <c r="R19" s="104" t="str">
        <f t="shared" si="2"/>
        <v/>
      </c>
      <c r="S19" s="104" t="str">
        <f t="shared" si="2"/>
        <v/>
      </c>
      <c r="T19" s="105"/>
    </row>
    <row r="20" spans="1:20" x14ac:dyDescent="0.3">
      <c r="A20" s="101"/>
      <c r="B20" s="106"/>
      <c r="C20" s="106"/>
      <c r="D20" s="104" t="str">
        <f t="shared" si="0"/>
        <v/>
      </c>
      <c r="E20" s="104"/>
      <c r="F20" s="104"/>
      <c r="G20" s="104"/>
      <c r="H20" s="104" t="str">
        <f>IF(E20="","",E20*K_Fatores!C25)</f>
        <v/>
      </c>
      <c r="I20" s="104" t="str">
        <f>IF(F20="","",F20*K_Fatores!C26)</f>
        <v/>
      </c>
      <c r="J20" s="104" t="str">
        <f>IF(G20="","",G20*K_Fatores!C27)</f>
        <v/>
      </c>
      <c r="K20" s="104"/>
      <c r="L20" s="104" t="str">
        <f t="shared" si="1"/>
        <v/>
      </c>
      <c r="M20" s="104"/>
      <c r="N20" s="104"/>
      <c r="O20" s="104"/>
      <c r="P20" s="104"/>
      <c r="Q20" s="104"/>
      <c r="R20" s="104" t="str">
        <f t="shared" si="2"/>
        <v/>
      </c>
      <c r="S20" s="104" t="str">
        <f t="shared" si="2"/>
        <v/>
      </c>
      <c r="T20" s="105"/>
    </row>
  </sheetData>
  <mergeCells count="3">
    <mergeCell ref="A4:T4"/>
    <mergeCell ref="A2:T2"/>
    <mergeCell ref="B1:T1"/>
  </mergeCells>
  <conditionalFormatting sqref="R6:S20">
    <cfRule type="expression" dxfId="5" priority="1">
      <formula>AND(ABS(R6)&gt;A8,R6&lt;&gt;"")</formula>
    </cfRule>
  </conditionalFormatting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9" tint="0.59999389629810485"/>
  </sheetPr>
  <dimension ref="A1:M55"/>
  <sheetViews>
    <sheetView showGridLines="0" workbookViewId="0">
      <pane ySplit="5" topLeftCell="A6" activePane="bottomLeft" state="frozen"/>
      <selection pane="bottomLeft" activeCell="B19" sqref="B19"/>
    </sheetView>
  </sheetViews>
  <sheetFormatPr defaultRowHeight="14.4" x14ac:dyDescent="0.3"/>
  <cols>
    <col min="1" max="1" width="22" customWidth="1"/>
    <col min="2" max="2" width="20" customWidth="1"/>
    <col min="3" max="3" width="16.6640625" bestFit="1" customWidth="1"/>
    <col min="4" max="4" width="60" customWidth="1"/>
    <col min="5" max="5" width="16" customWidth="1"/>
    <col min="6" max="6" width="26" customWidth="1"/>
    <col min="10" max="10" width="27.33203125" hidden="1" customWidth="1"/>
    <col min="11" max="11" width="0" hidden="1" customWidth="1"/>
    <col min="12" max="12" width="9.6640625" style="28" hidden="1" customWidth="1"/>
    <col min="13" max="13" width="8.44140625" style="28" hidden="1" customWidth="1"/>
    <col min="14" max="15" width="0" hidden="1" customWidth="1"/>
  </cols>
  <sheetData>
    <row r="1" spans="1:13" ht="54.75" customHeight="1" x14ac:dyDescent="0.3">
      <c r="A1" s="38"/>
      <c r="B1" s="159" t="s">
        <v>562</v>
      </c>
      <c r="C1" s="159"/>
      <c r="D1" s="159"/>
      <c r="E1" s="159"/>
      <c r="F1" s="159"/>
    </row>
    <row r="2" spans="1:13" ht="19.95" customHeight="1" x14ac:dyDescent="0.35">
      <c r="A2" s="144" t="s">
        <v>360</v>
      </c>
      <c r="B2" s="145"/>
      <c r="C2" s="145"/>
      <c r="D2" s="145"/>
      <c r="E2" s="145"/>
      <c r="F2" s="145"/>
    </row>
    <row r="4" spans="1:13" x14ac:dyDescent="0.3">
      <c r="A4" s="173" t="s">
        <v>361</v>
      </c>
      <c r="B4" s="161"/>
      <c r="C4" s="161"/>
      <c r="D4" s="161"/>
      <c r="E4" s="161"/>
      <c r="F4" s="161"/>
    </row>
    <row r="5" spans="1:13" ht="18" customHeight="1" x14ac:dyDescent="0.3">
      <c r="A5" s="143" t="s">
        <v>362</v>
      </c>
      <c r="B5" s="143" t="s">
        <v>363</v>
      </c>
      <c r="C5" s="143" t="s">
        <v>364</v>
      </c>
      <c r="D5" s="143" t="s">
        <v>365</v>
      </c>
      <c r="E5" s="143" t="s">
        <v>366</v>
      </c>
      <c r="F5" s="143" t="s">
        <v>367</v>
      </c>
      <c r="J5" s="45" t="s">
        <v>126</v>
      </c>
      <c r="K5" s="45" t="s">
        <v>173</v>
      </c>
      <c r="L5" s="45" t="s">
        <v>368</v>
      </c>
      <c r="M5" s="45" t="s">
        <v>369</v>
      </c>
    </row>
    <row r="6" spans="1:13" x14ac:dyDescent="0.3">
      <c r="A6" s="4"/>
      <c r="B6" s="2"/>
      <c r="C6" s="2"/>
      <c r="D6" s="2"/>
      <c r="E6" s="2"/>
      <c r="F6" s="2"/>
      <c r="J6" s="44" t="s">
        <v>370</v>
      </c>
      <c r="K6" s="44"/>
      <c r="L6" s="52"/>
      <c r="M6" s="52"/>
    </row>
    <row r="7" spans="1:13" x14ac:dyDescent="0.3">
      <c r="A7" s="4"/>
      <c r="B7" s="2"/>
      <c r="C7" s="2"/>
      <c r="D7" s="2"/>
      <c r="E7" s="2"/>
      <c r="F7" s="2"/>
      <c r="J7" s="44" t="s">
        <v>371</v>
      </c>
      <c r="K7" s="44"/>
      <c r="L7" s="52"/>
      <c r="M7" s="52"/>
    </row>
    <row r="8" spans="1:13" x14ac:dyDescent="0.3">
      <c r="A8" s="4"/>
      <c r="B8" s="2"/>
      <c r="C8" s="2"/>
      <c r="D8" s="2"/>
      <c r="E8" s="2"/>
      <c r="F8" s="2"/>
      <c r="J8" s="44" t="s">
        <v>372</v>
      </c>
      <c r="K8" s="44"/>
      <c r="L8" s="52"/>
      <c r="M8" s="52"/>
    </row>
    <row r="9" spans="1:13" x14ac:dyDescent="0.3">
      <c r="A9" s="4"/>
      <c r="B9" s="2"/>
      <c r="C9" s="2"/>
      <c r="D9" s="2"/>
      <c r="E9" s="2"/>
      <c r="F9" s="2"/>
      <c r="J9" s="44" t="s">
        <v>56</v>
      </c>
      <c r="K9" s="44"/>
      <c r="L9" s="52"/>
      <c r="M9" s="52"/>
    </row>
    <row r="10" spans="1:13" x14ac:dyDescent="0.3">
      <c r="A10" s="4"/>
      <c r="B10" s="2"/>
      <c r="C10" s="2"/>
      <c r="D10" s="2"/>
      <c r="E10" s="2"/>
      <c r="F10" s="2"/>
      <c r="J10" s="44" t="s">
        <v>57</v>
      </c>
      <c r="K10" s="44"/>
      <c r="L10" s="52"/>
      <c r="M10" s="52"/>
    </row>
    <row r="11" spans="1:13" x14ac:dyDescent="0.3">
      <c r="A11" s="4"/>
      <c r="B11" s="2"/>
      <c r="C11" s="2"/>
      <c r="D11" s="2"/>
      <c r="E11" s="2"/>
      <c r="F11" s="2"/>
      <c r="J11" s="44" t="s">
        <v>373</v>
      </c>
      <c r="K11" s="44"/>
      <c r="L11" s="52"/>
      <c r="M11" s="52"/>
    </row>
    <row r="12" spans="1:13" x14ac:dyDescent="0.3">
      <c r="A12" s="4"/>
      <c r="B12" s="2"/>
      <c r="C12" s="2"/>
      <c r="D12" s="2"/>
      <c r="E12" s="2"/>
      <c r="F12" s="2"/>
      <c r="J12" s="44" t="s">
        <v>374</v>
      </c>
      <c r="K12" s="44"/>
      <c r="L12" s="52"/>
      <c r="M12" s="52"/>
    </row>
    <row r="13" spans="1:13" x14ac:dyDescent="0.3">
      <c r="A13" s="4"/>
      <c r="B13" s="2"/>
      <c r="C13" s="2"/>
      <c r="D13" s="2"/>
      <c r="E13" s="2"/>
      <c r="F13" s="2"/>
      <c r="J13" s="44" t="s">
        <v>375</v>
      </c>
      <c r="K13" s="44"/>
      <c r="L13" s="52"/>
      <c r="M13" s="52"/>
    </row>
    <row r="14" spans="1:13" x14ac:dyDescent="0.3">
      <c r="A14" s="4"/>
      <c r="B14" s="2"/>
      <c r="C14" s="2"/>
      <c r="D14" s="2"/>
      <c r="E14" s="2"/>
      <c r="F14" s="2"/>
      <c r="J14" s="44" t="s">
        <v>376</v>
      </c>
      <c r="K14" s="44"/>
      <c r="L14" s="52"/>
      <c r="M14" s="52"/>
    </row>
    <row r="15" spans="1:13" x14ac:dyDescent="0.3">
      <c r="A15" s="4"/>
      <c r="B15" s="2"/>
      <c r="C15" s="2"/>
      <c r="D15" s="2"/>
      <c r="E15" s="2"/>
      <c r="F15" s="2"/>
      <c r="J15" s="44" t="s">
        <v>377</v>
      </c>
      <c r="K15" s="44"/>
      <c r="L15" s="52"/>
      <c r="M15" s="52"/>
    </row>
    <row r="16" spans="1:13" x14ac:dyDescent="0.3">
      <c r="A16" s="4"/>
      <c r="B16" s="2"/>
      <c r="C16" s="2"/>
      <c r="D16" s="2"/>
      <c r="E16" s="2"/>
      <c r="F16" s="2"/>
      <c r="J16" s="44" t="s">
        <v>378</v>
      </c>
      <c r="K16" s="44"/>
      <c r="L16" s="52"/>
      <c r="M16" s="52"/>
    </row>
    <row r="17" spans="1:13" x14ac:dyDescent="0.3">
      <c r="A17" s="4"/>
      <c r="B17" s="2"/>
      <c r="C17" s="2"/>
      <c r="D17" s="2"/>
      <c r="E17" s="2"/>
      <c r="F17" s="2"/>
      <c r="J17" s="44" t="s">
        <v>379</v>
      </c>
      <c r="K17" s="44"/>
      <c r="L17" s="52"/>
      <c r="M17" s="52"/>
    </row>
    <row r="18" spans="1:13" x14ac:dyDescent="0.3">
      <c r="A18" s="4"/>
      <c r="B18" s="2"/>
      <c r="C18" s="2"/>
      <c r="D18" s="2"/>
      <c r="E18" s="2"/>
      <c r="F18" s="2"/>
      <c r="J18" s="44" t="s">
        <v>380</v>
      </c>
      <c r="K18" s="44"/>
      <c r="L18" s="52"/>
      <c r="M18" s="52"/>
    </row>
    <row r="19" spans="1:13" x14ac:dyDescent="0.3">
      <c r="A19" s="4"/>
      <c r="B19" s="2"/>
      <c r="C19" s="2"/>
      <c r="D19" s="2"/>
      <c r="E19" s="2"/>
      <c r="F19" s="2"/>
      <c r="J19" s="44" t="s">
        <v>381</v>
      </c>
      <c r="K19" s="44"/>
      <c r="L19" s="52"/>
      <c r="M19" s="52"/>
    </row>
    <row r="20" spans="1:13" x14ac:dyDescent="0.3">
      <c r="A20" s="4"/>
      <c r="B20" s="2"/>
      <c r="C20" s="2"/>
      <c r="D20" s="2"/>
      <c r="E20" s="2"/>
      <c r="F20" s="2"/>
      <c r="J20" s="44" t="s">
        <v>382</v>
      </c>
      <c r="K20" s="44"/>
      <c r="L20" s="52"/>
      <c r="M20" s="52"/>
    </row>
    <row r="21" spans="1:13" x14ac:dyDescent="0.3">
      <c r="A21" s="4"/>
      <c r="B21" s="2"/>
      <c r="C21" s="2"/>
      <c r="D21" s="2"/>
      <c r="E21" s="2"/>
      <c r="F21" s="2"/>
      <c r="J21" s="44" t="s">
        <v>383</v>
      </c>
      <c r="K21" s="44"/>
      <c r="L21" s="52"/>
      <c r="M21" s="52"/>
    </row>
    <row r="22" spans="1:13" x14ac:dyDescent="0.3">
      <c r="A22" s="4"/>
      <c r="B22" s="2"/>
      <c r="C22" s="2"/>
      <c r="D22" s="2"/>
      <c r="E22" s="2"/>
      <c r="F22" s="2"/>
      <c r="J22" s="44" t="s">
        <v>384</v>
      </c>
      <c r="K22" s="44"/>
      <c r="L22" s="52"/>
      <c r="M22" s="52"/>
    </row>
    <row r="23" spans="1:13" x14ac:dyDescent="0.3">
      <c r="A23" s="4"/>
      <c r="B23" s="2"/>
      <c r="C23" s="2"/>
      <c r="D23" s="2"/>
      <c r="E23" s="2"/>
      <c r="F23" s="2"/>
      <c r="J23" s="44" t="s">
        <v>385</v>
      </c>
      <c r="K23" s="44"/>
      <c r="L23" s="52"/>
      <c r="M23" s="52"/>
    </row>
    <row r="24" spans="1:13" x14ac:dyDescent="0.3">
      <c r="A24" s="4"/>
      <c r="B24" s="2"/>
      <c r="C24" s="2"/>
      <c r="D24" s="2"/>
      <c r="E24" s="2"/>
      <c r="F24" s="2"/>
      <c r="J24" s="44" t="s">
        <v>386</v>
      </c>
      <c r="K24" s="44"/>
      <c r="L24" s="52"/>
      <c r="M24" s="52"/>
    </row>
    <row r="25" spans="1:13" x14ac:dyDescent="0.3">
      <c r="A25" s="4"/>
      <c r="B25" s="2"/>
      <c r="C25" s="2"/>
      <c r="D25" s="2"/>
      <c r="E25" s="2"/>
      <c r="F25" s="2"/>
      <c r="J25" s="44" t="s">
        <v>387</v>
      </c>
      <c r="K25" s="44"/>
      <c r="L25" s="52"/>
      <c r="M25" s="52"/>
    </row>
    <row r="26" spans="1:13" x14ac:dyDescent="0.3">
      <c r="A26" s="4"/>
      <c r="B26" s="2"/>
      <c r="C26" s="2"/>
      <c r="D26" s="2"/>
      <c r="E26" s="2"/>
      <c r="F26" s="2"/>
      <c r="J26" s="44" t="s">
        <v>388</v>
      </c>
      <c r="K26" s="44"/>
      <c r="L26" s="52"/>
      <c r="M26" s="52"/>
    </row>
    <row r="27" spans="1:13" x14ac:dyDescent="0.3">
      <c r="A27" s="4"/>
      <c r="B27" s="2"/>
      <c r="C27" s="2"/>
      <c r="D27" s="2"/>
      <c r="E27" s="2"/>
      <c r="F27" s="2"/>
    </row>
    <row r="28" spans="1:13" x14ac:dyDescent="0.3">
      <c r="A28" s="4"/>
      <c r="B28" s="2"/>
      <c r="C28" s="2"/>
      <c r="D28" s="2"/>
      <c r="E28" s="2"/>
      <c r="F28" s="2"/>
    </row>
    <row r="29" spans="1:13" x14ac:dyDescent="0.3">
      <c r="A29" s="4"/>
      <c r="B29" s="2"/>
      <c r="C29" s="2"/>
      <c r="D29" s="2"/>
      <c r="E29" s="2"/>
      <c r="F29" s="2"/>
    </row>
    <row r="30" spans="1:13" x14ac:dyDescent="0.3">
      <c r="A30" s="4"/>
      <c r="B30" s="2"/>
      <c r="C30" s="2"/>
      <c r="D30" s="2"/>
      <c r="E30" s="2"/>
      <c r="F30" s="2"/>
    </row>
    <row r="31" spans="1:13" x14ac:dyDescent="0.3">
      <c r="A31" s="4"/>
      <c r="B31" s="2"/>
      <c r="C31" s="2"/>
      <c r="D31" s="2"/>
      <c r="E31" s="2"/>
      <c r="F31" s="2"/>
    </row>
    <row r="32" spans="1:13" x14ac:dyDescent="0.3">
      <c r="A32" s="4"/>
      <c r="B32" s="2"/>
      <c r="C32" s="2"/>
      <c r="D32" s="2"/>
      <c r="E32" s="2"/>
      <c r="F32" s="2"/>
    </row>
    <row r="33" spans="1:6" x14ac:dyDescent="0.3">
      <c r="A33" s="4"/>
      <c r="B33" s="2"/>
      <c r="C33" s="2"/>
      <c r="D33" s="2"/>
      <c r="E33" s="2"/>
      <c r="F33" s="2"/>
    </row>
    <row r="34" spans="1:6" x14ac:dyDescent="0.3">
      <c r="A34" s="4"/>
      <c r="B34" s="2"/>
      <c r="C34" s="2"/>
      <c r="D34" s="2"/>
      <c r="E34" s="2"/>
      <c r="F34" s="2"/>
    </row>
    <row r="35" spans="1:6" x14ac:dyDescent="0.3">
      <c r="A35" s="4"/>
      <c r="B35" s="2"/>
      <c r="C35" s="2"/>
      <c r="D35" s="2"/>
      <c r="E35" s="2"/>
      <c r="F35" s="2"/>
    </row>
    <row r="36" spans="1:6" x14ac:dyDescent="0.3">
      <c r="A36" s="4"/>
      <c r="B36" s="2"/>
      <c r="C36" s="2"/>
      <c r="D36" s="2"/>
      <c r="E36" s="2"/>
      <c r="F36" s="2"/>
    </row>
    <row r="37" spans="1:6" x14ac:dyDescent="0.3">
      <c r="A37" s="4"/>
      <c r="B37" s="2"/>
      <c r="C37" s="2"/>
      <c r="D37" s="2"/>
      <c r="E37" s="2"/>
      <c r="F37" s="2"/>
    </row>
    <row r="38" spans="1:6" x14ac:dyDescent="0.3">
      <c r="A38" s="4"/>
      <c r="B38" s="2"/>
      <c r="C38" s="2"/>
      <c r="D38" s="2"/>
      <c r="E38" s="2"/>
      <c r="F38" s="2"/>
    </row>
    <row r="39" spans="1:6" x14ac:dyDescent="0.3">
      <c r="A39" s="4"/>
      <c r="B39" s="2"/>
      <c r="C39" s="2"/>
      <c r="D39" s="2"/>
      <c r="E39" s="2"/>
      <c r="F39" s="2"/>
    </row>
    <row r="40" spans="1:6" x14ac:dyDescent="0.3">
      <c r="A40" s="4"/>
      <c r="B40" s="2"/>
      <c r="C40" s="2"/>
      <c r="D40" s="2"/>
      <c r="E40" s="2"/>
      <c r="F40" s="2"/>
    </row>
    <row r="41" spans="1:6" x14ac:dyDescent="0.3">
      <c r="A41" s="4"/>
      <c r="B41" s="2"/>
      <c r="C41" s="2"/>
      <c r="D41" s="2"/>
      <c r="E41" s="2"/>
      <c r="F41" s="2"/>
    </row>
    <row r="42" spans="1:6" x14ac:dyDescent="0.3">
      <c r="A42" s="4"/>
      <c r="B42" s="2"/>
      <c r="C42" s="2"/>
      <c r="D42" s="2"/>
      <c r="E42" s="2"/>
      <c r="F42" s="2"/>
    </row>
    <row r="43" spans="1:6" x14ac:dyDescent="0.3">
      <c r="A43" s="4"/>
      <c r="B43" s="2"/>
      <c r="C43" s="2"/>
      <c r="D43" s="2"/>
      <c r="E43" s="2"/>
      <c r="F43" s="2"/>
    </row>
    <row r="44" spans="1:6" x14ac:dyDescent="0.3">
      <c r="A44" s="4"/>
      <c r="B44" s="2"/>
      <c r="C44" s="2"/>
      <c r="D44" s="2"/>
      <c r="E44" s="2"/>
      <c r="F44" s="2"/>
    </row>
    <row r="45" spans="1:6" x14ac:dyDescent="0.3">
      <c r="A45" s="4"/>
      <c r="B45" s="2"/>
      <c r="C45" s="2"/>
      <c r="D45" s="2"/>
      <c r="E45" s="2"/>
      <c r="F45" s="2"/>
    </row>
    <row r="46" spans="1:6" x14ac:dyDescent="0.3">
      <c r="A46" s="4"/>
      <c r="B46" s="2"/>
      <c r="C46" s="2"/>
      <c r="D46" s="2"/>
      <c r="E46" s="2"/>
      <c r="F46" s="2"/>
    </row>
    <row r="47" spans="1:6" x14ac:dyDescent="0.3">
      <c r="A47" s="4"/>
      <c r="B47" s="2"/>
      <c r="C47" s="2"/>
      <c r="D47" s="2"/>
      <c r="E47" s="2"/>
      <c r="F47" s="2"/>
    </row>
    <row r="48" spans="1:6" x14ac:dyDescent="0.3">
      <c r="A48" s="4"/>
      <c r="B48" s="2"/>
      <c r="C48" s="2"/>
      <c r="D48" s="2"/>
      <c r="E48" s="2"/>
      <c r="F48" s="2"/>
    </row>
    <row r="49" spans="1:6" x14ac:dyDescent="0.3">
      <c r="A49" s="4"/>
      <c r="B49" s="2"/>
      <c r="C49" s="2"/>
      <c r="D49" s="2"/>
      <c r="E49" s="2"/>
      <c r="F49" s="2"/>
    </row>
    <row r="50" spans="1:6" x14ac:dyDescent="0.3">
      <c r="A50" s="4"/>
      <c r="B50" s="2"/>
      <c r="C50" s="2"/>
      <c r="D50" s="2"/>
      <c r="E50" s="2"/>
      <c r="F50" s="2"/>
    </row>
    <row r="51" spans="1:6" x14ac:dyDescent="0.3">
      <c r="A51" s="4"/>
      <c r="B51" s="2"/>
      <c r="C51" s="2"/>
      <c r="D51" s="2"/>
      <c r="E51" s="2"/>
      <c r="F51" s="2"/>
    </row>
    <row r="52" spans="1:6" x14ac:dyDescent="0.3">
      <c r="A52" s="4"/>
      <c r="B52" s="2"/>
      <c r="C52" s="2"/>
      <c r="D52" s="2"/>
      <c r="E52" s="2"/>
      <c r="F52" s="2"/>
    </row>
    <row r="53" spans="1:6" x14ac:dyDescent="0.3">
      <c r="A53" s="4"/>
      <c r="B53" s="2"/>
      <c r="C53" s="2"/>
      <c r="D53" s="2"/>
      <c r="E53" s="2"/>
      <c r="F53" s="2"/>
    </row>
    <row r="54" spans="1:6" x14ac:dyDescent="0.3">
      <c r="A54" s="4"/>
      <c r="B54" s="2"/>
      <c r="C54" s="2"/>
      <c r="D54" s="2"/>
      <c r="E54" s="2"/>
      <c r="F54" s="2"/>
    </row>
    <row r="55" spans="1:6" x14ac:dyDescent="0.3">
      <c r="A55" s="4"/>
      <c r="B55" s="2"/>
      <c r="C55" s="2"/>
      <c r="D55" s="2"/>
      <c r="E55" s="2"/>
      <c r="F55" s="2"/>
    </row>
  </sheetData>
  <mergeCells count="3">
    <mergeCell ref="A4:F4"/>
    <mergeCell ref="A2:F2"/>
    <mergeCell ref="B1:F1"/>
  </mergeCells>
  <dataValidations count="1">
    <dataValidation type="list" allowBlank="1" sqref="E6:E55" xr:uid="{00000000-0002-0000-0700-000000000000}">
      <formula1>"Crítico,Alto,Médio,Baixo,Info"</formula1>
    </dataValidation>
  </dataValidations>
  <pageMargins left="0.75" right="0.75" top="1" bottom="1" header="0.5" footer="0.5"/>
  <pageSetup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93D69-9F16-437A-BF70-561ED35D55C1}">
  <sheetPr>
    <tabColor theme="3" tint="0.59999389629810485"/>
    <pageSetUpPr fitToPage="1"/>
  </sheetPr>
  <dimension ref="A1:S25"/>
  <sheetViews>
    <sheetView showGridLines="0" tabSelected="1" view="pageBreakPreview" zoomScale="115" zoomScaleNormal="120" zoomScaleSheetLayoutView="115" workbookViewId="0">
      <selection activeCell="E15" sqref="E15"/>
    </sheetView>
  </sheetViews>
  <sheetFormatPr defaultColWidth="10.88671875" defaultRowHeight="14.4" x14ac:dyDescent="0.3"/>
  <cols>
    <col min="1" max="1" width="10.88671875" style="128"/>
    <col min="2" max="2" width="0" style="128" hidden="1" customWidth="1"/>
    <col min="3" max="14" width="10.88671875" style="128"/>
    <col min="15" max="15" width="10.44140625" style="128" bestFit="1" customWidth="1"/>
    <col min="16" max="16384" width="10.88671875" style="128"/>
  </cols>
  <sheetData>
    <row r="1" spans="1:19" ht="52.2" customHeight="1" thickBot="1" x14ac:dyDescent="0.35">
      <c r="A1" s="126"/>
      <c r="B1" s="127"/>
      <c r="C1" s="127"/>
      <c r="D1" s="178" t="s">
        <v>562</v>
      </c>
      <c r="E1" s="178"/>
      <c r="F1" s="178"/>
      <c r="G1" s="178"/>
      <c r="H1" s="178"/>
      <c r="I1" s="178"/>
      <c r="J1" s="178"/>
      <c r="K1" s="178"/>
      <c r="L1" s="178"/>
      <c r="M1" s="178"/>
      <c r="N1" s="177"/>
      <c r="O1" s="177"/>
      <c r="P1" s="177"/>
      <c r="Q1" s="177"/>
      <c r="R1" s="177"/>
      <c r="S1" s="179"/>
    </row>
    <row r="2" spans="1:19" s="130" customFormat="1" ht="18" x14ac:dyDescent="0.3">
      <c r="A2" s="174"/>
      <c r="B2" s="175"/>
      <c r="C2" s="125"/>
      <c r="D2" s="125"/>
      <c r="E2" s="125"/>
      <c r="F2" s="125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29"/>
    </row>
    <row r="3" spans="1:19" ht="55.2" x14ac:dyDescent="0.3">
      <c r="A3" s="131" t="s">
        <v>340</v>
      </c>
      <c r="B3" s="132" t="s">
        <v>542</v>
      </c>
      <c r="C3" s="133" t="s">
        <v>543</v>
      </c>
      <c r="D3" s="134" t="s">
        <v>544</v>
      </c>
      <c r="E3" s="134" t="s">
        <v>459</v>
      </c>
      <c r="F3" s="134" t="s">
        <v>545</v>
      </c>
      <c r="G3" s="134" t="s">
        <v>546</v>
      </c>
      <c r="H3" s="134" t="s">
        <v>547</v>
      </c>
      <c r="I3" s="134" t="s">
        <v>548</v>
      </c>
      <c r="J3" s="134" t="s">
        <v>549</v>
      </c>
      <c r="K3" s="134" t="s">
        <v>550</v>
      </c>
      <c r="L3" s="134" t="s">
        <v>551</v>
      </c>
      <c r="M3" s="134" t="s">
        <v>552</v>
      </c>
      <c r="N3" s="134" t="s">
        <v>553</v>
      </c>
      <c r="O3" s="134" t="s">
        <v>554</v>
      </c>
      <c r="P3" s="134" t="s">
        <v>555</v>
      </c>
      <c r="Q3" s="134" t="s">
        <v>556</v>
      </c>
      <c r="R3" s="134" t="s">
        <v>557</v>
      </c>
      <c r="S3" s="134" t="s">
        <v>395</v>
      </c>
    </row>
    <row r="4" spans="1:19" x14ac:dyDescent="0.3">
      <c r="A4" s="135"/>
      <c r="B4" s="136"/>
      <c r="C4" s="137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9"/>
    </row>
    <row r="5" spans="1:19" x14ac:dyDescent="0.3">
      <c r="A5" s="135"/>
      <c r="B5" s="136"/>
      <c r="C5" s="137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9"/>
    </row>
    <row r="6" spans="1:19" x14ac:dyDescent="0.3">
      <c r="A6" s="135"/>
      <c r="B6" s="136"/>
      <c r="C6" s="137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9"/>
    </row>
    <row r="7" spans="1:19" x14ac:dyDescent="0.3">
      <c r="A7" s="135"/>
      <c r="B7" s="136"/>
      <c r="C7" s="137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9"/>
    </row>
    <row r="8" spans="1:19" x14ac:dyDescent="0.3">
      <c r="A8" s="135"/>
      <c r="B8" s="136"/>
      <c r="C8" s="137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9"/>
    </row>
    <row r="9" spans="1:19" x14ac:dyDescent="0.3">
      <c r="A9" s="135"/>
      <c r="B9" s="136"/>
      <c r="C9" s="137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9"/>
    </row>
    <row r="10" spans="1:19" x14ac:dyDescent="0.3">
      <c r="A10" s="135"/>
      <c r="B10" s="136"/>
      <c r="C10" s="137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9"/>
    </row>
    <row r="11" spans="1:19" x14ac:dyDescent="0.3">
      <c r="A11" s="135"/>
      <c r="B11" s="136"/>
      <c r="C11" s="137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9"/>
    </row>
    <row r="12" spans="1:19" x14ac:dyDescent="0.3">
      <c r="A12" s="135"/>
      <c r="B12" s="136"/>
      <c r="C12" s="137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9"/>
    </row>
    <row r="13" spans="1:19" x14ac:dyDescent="0.3">
      <c r="A13" s="135"/>
      <c r="B13" s="136"/>
      <c r="C13" s="137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9"/>
    </row>
    <row r="14" spans="1:19" x14ac:dyDescent="0.3">
      <c r="A14" s="135"/>
      <c r="B14" s="136"/>
      <c r="C14" s="137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9"/>
    </row>
    <row r="15" spans="1:19" x14ac:dyDescent="0.3">
      <c r="A15" s="135"/>
      <c r="B15" s="136"/>
      <c r="C15" s="137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9"/>
    </row>
    <row r="16" spans="1:19" x14ac:dyDescent="0.3">
      <c r="A16" s="135"/>
      <c r="B16" s="136"/>
      <c r="C16" s="137"/>
      <c r="D16" s="138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9"/>
    </row>
    <row r="17" spans="1:19" x14ac:dyDescent="0.3">
      <c r="A17" s="135"/>
      <c r="B17" s="136"/>
      <c r="C17" s="137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9"/>
    </row>
    <row r="18" spans="1:19" x14ac:dyDescent="0.3">
      <c r="A18" s="135"/>
      <c r="B18" s="136"/>
      <c r="C18" s="137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9"/>
    </row>
    <row r="19" spans="1:19" x14ac:dyDescent="0.3">
      <c r="A19" s="135"/>
      <c r="B19" s="136"/>
      <c r="C19" s="137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9"/>
    </row>
    <row r="20" spans="1:19" x14ac:dyDescent="0.3">
      <c r="A20" s="135"/>
      <c r="B20" s="136"/>
      <c r="C20" s="137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38"/>
      <c r="R20" s="138"/>
      <c r="S20" s="139"/>
    </row>
    <row r="21" spans="1:19" x14ac:dyDescent="0.3">
      <c r="A21" s="135"/>
      <c r="B21" s="136"/>
      <c r="C21" s="137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9"/>
    </row>
    <row r="22" spans="1:19" x14ac:dyDescent="0.3">
      <c r="A22" s="135"/>
      <c r="B22" s="136"/>
      <c r="C22" s="137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9"/>
    </row>
    <row r="23" spans="1:19" x14ac:dyDescent="0.3">
      <c r="A23" s="135"/>
      <c r="B23" s="136"/>
      <c r="C23" s="137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9"/>
    </row>
    <row r="24" spans="1:19" x14ac:dyDescent="0.3">
      <c r="A24" s="135"/>
      <c r="B24" s="136"/>
      <c r="C24" s="137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9"/>
    </row>
    <row r="25" spans="1:19" ht="15" thickBot="1" x14ac:dyDescent="0.35">
      <c r="A25" s="140"/>
      <c r="B25" s="141"/>
      <c r="C25" s="137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9"/>
    </row>
  </sheetData>
  <mergeCells count="4">
    <mergeCell ref="D1:M1"/>
    <mergeCell ref="A2:B2"/>
    <mergeCell ref="G2:R2"/>
    <mergeCell ref="N1:R1"/>
  </mergeCells>
  <dataValidations count="1">
    <dataValidation type="list" allowBlank="1" sqref="E5:E25" xr:uid="{6AC3852A-EAC4-48A1-A826-FE894C7DD29F}">
      <formula1>"SUBSEA,TOPSIDE,SISTEMA,LAB,ANP,OUTRO"</formula1>
    </dataValidation>
  </dataValidations>
  <pageMargins left="0.25" right="0.25" top="0.75" bottom="0.75" header="0.3" footer="0.3"/>
  <pageSetup paperSize="9" fitToWidth="0" orientation="landscape" horizontalDpi="300" verticalDpi="300" r:id="rId1"/>
  <headerFooter>
    <oddFooter>&amp;C&amp;"Arial,Regular"&amp;9&amp;P de &amp;N</oddFooter>
  </headerFooter>
  <colBreaks count="1" manualBreakCount="1">
    <brk id="12" max="26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53"/>
  <sheetViews>
    <sheetView showGridLines="0" workbookViewId="0">
      <pane ySplit="5" topLeftCell="A6" activePane="bottomLeft" state="frozen"/>
      <selection pane="bottomLeft" activeCell="B1" sqref="B1:J1"/>
    </sheetView>
  </sheetViews>
  <sheetFormatPr defaultRowHeight="14.4" x14ac:dyDescent="0.3"/>
  <cols>
    <col min="1" max="1" width="36.33203125" customWidth="1"/>
    <col min="2" max="2" width="20" customWidth="1"/>
    <col min="3" max="3" width="25.6640625" customWidth="1"/>
    <col min="4" max="7" width="20" customWidth="1"/>
    <col min="8" max="8" width="21.6640625" customWidth="1"/>
    <col min="9" max="10" width="20" customWidth="1"/>
  </cols>
  <sheetData>
    <row r="1" spans="1:10" ht="54.75" customHeight="1" x14ac:dyDescent="0.3">
      <c r="A1" s="38"/>
      <c r="B1" s="152" t="s">
        <v>9</v>
      </c>
      <c r="C1" s="152"/>
      <c r="D1" s="152"/>
      <c r="E1" s="152"/>
      <c r="F1" s="152"/>
      <c r="G1" s="152"/>
      <c r="H1" s="152"/>
      <c r="I1" s="152"/>
      <c r="J1" s="152"/>
    </row>
    <row r="2" spans="1:10" ht="19.95" customHeight="1" x14ac:dyDescent="0.35">
      <c r="A2" s="144" t="s">
        <v>389</v>
      </c>
      <c r="B2" s="145"/>
      <c r="C2" s="145"/>
      <c r="D2" s="145"/>
      <c r="E2" s="145"/>
      <c r="F2" s="145"/>
      <c r="G2" s="145"/>
      <c r="H2" s="145"/>
      <c r="I2" s="145"/>
      <c r="J2" s="145"/>
    </row>
    <row r="4" spans="1:10" x14ac:dyDescent="0.3">
      <c r="A4" s="164" t="s">
        <v>390</v>
      </c>
      <c r="B4" s="165"/>
      <c r="C4" s="165"/>
      <c r="D4" s="165"/>
      <c r="E4" s="165"/>
      <c r="F4" s="165"/>
      <c r="G4" s="165"/>
      <c r="H4" s="165"/>
      <c r="I4" s="165"/>
      <c r="J4" s="165"/>
    </row>
    <row r="5" spans="1:10" ht="18" customHeight="1" x14ac:dyDescent="0.3">
      <c r="A5" s="40" t="s">
        <v>391</v>
      </c>
      <c r="B5" s="40" t="s">
        <v>392</v>
      </c>
      <c r="C5" s="40" t="s">
        <v>393</v>
      </c>
      <c r="D5" s="40" t="s">
        <v>394</v>
      </c>
      <c r="E5" s="40" t="s">
        <v>395</v>
      </c>
    </row>
    <row r="6" spans="1:10" x14ac:dyDescent="0.3">
      <c r="A6" s="7" t="s">
        <v>396</v>
      </c>
      <c r="B6" s="11"/>
      <c r="C6" s="11"/>
      <c r="D6" s="10" t="str">
        <f t="shared" ref="D6:D13" si="0">IF(OR(B6="",C6=""),"",B6+C6)</f>
        <v/>
      </c>
      <c r="E6" s="2"/>
    </row>
    <row r="7" spans="1:10" x14ac:dyDescent="0.3">
      <c r="A7" s="7" t="s">
        <v>397</v>
      </c>
      <c r="B7" s="11"/>
      <c r="C7" s="11"/>
      <c r="D7" s="10" t="str">
        <f t="shared" si="0"/>
        <v/>
      </c>
      <c r="E7" s="2"/>
    </row>
    <row r="8" spans="1:10" x14ac:dyDescent="0.3">
      <c r="A8" s="7" t="s">
        <v>398</v>
      </c>
      <c r="B8" s="11"/>
      <c r="C8" s="11"/>
      <c r="D8" s="10" t="str">
        <f t="shared" si="0"/>
        <v/>
      </c>
      <c r="E8" s="2"/>
    </row>
    <row r="9" spans="1:10" x14ac:dyDescent="0.3">
      <c r="A9" s="7" t="s">
        <v>399</v>
      </c>
      <c r="B9" s="11"/>
      <c r="C9" s="11"/>
      <c r="D9" s="10" t="str">
        <f t="shared" si="0"/>
        <v/>
      </c>
      <c r="E9" s="2"/>
    </row>
    <row r="10" spans="1:10" x14ac:dyDescent="0.3">
      <c r="A10" s="7" t="s">
        <v>400</v>
      </c>
      <c r="B10" s="11"/>
      <c r="C10" s="11"/>
      <c r="D10" s="10" t="str">
        <f t="shared" si="0"/>
        <v/>
      </c>
      <c r="E10" s="2"/>
    </row>
    <row r="11" spans="1:10" x14ac:dyDescent="0.3">
      <c r="A11" s="7" t="s">
        <v>401</v>
      </c>
      <c r="B11" s="11"/>
      <c r="C11" s="11"/>
      <c r="D11" s="10" t="str">
        <f t="shared" si="0"/>
        <v/>
      </c>
      <c r="E11" s="2"/>
    </row>
    <row r="12" spans="1:10" x14ac:dyDescent="0.3">
      <c r="A12" s="7" t="s">
        <v>402</v>
      </c>
      <c r="B12" s="11"/>
      <c r="C12" s="11"/>
      <c r="D12" s="10" t="str">
        <f t="shared" si="0"/>
        <v/>
      </c>
      <c r="E12" s="2"/>
    </row>
    <row r="13" spans="1:10" x14ac:dyDescent="0.3">
      <c r="A13" s="7" t="s">
        <v>403</v>
      </c>
      <c r="B13" s="11"/>
      <c r="C13" s="11"/>
      <c r="D13" s="10" t="str">
        <f t="shared" si="0"/>
        <v/>
      </c>
      <c r="E13" s="2"/>
    </row>
    <row r="14" spans="1:10" x14ac:dyDescent="0.3">
      <c r="A14" s="41" t="s">
        <v>404</v>
      </c>
      <c r="B14" s="12"/>
      <c r="C14" s="12"/>
      <c r="D14" s="10">
        <f>SUM(D6:D13)</f>
        <v>0</v>
      </c>
      <c r="E14" s="12"/>
    </row>
    <row r="16" spans="1:10" x14ac:dyDescent="0.3">
      <c r="A16" s="164" t="s">
        <v>405</v>
      </c>
      <c r="B16" s="165"/>
      <c r="C16" s="165"/>
      <c r="D16" s="165"/>
      <c r="E16" s="165"/>
      <c r="F16" s="165"/>
      <c r="G16" s="165"/>
      <c r="H16" s="165"/>
      <c r="I16" s="165"/>
      <c r="J16" s="165"/>
    </row>
    <row r="17" spans="1:10" x14ac:dyDescent="0.3">
      <c r="A17" s="41" t="s">
        <v>406</v>
      </c>
      <c r="B17" s="11"/>
    </row>
    <row r="18" spans="1:10" x14ac:dyDescent="0.3">
      <c r="A18" s="41" t="s">
        <v>407</v>
      </c>
      <c r="B18" s="11"/>
    </row>
    <row r="19" spans="1:10" x14ac:dyDescent="0.3">
      <c r="A19" s="41" t="s">
        <v>408</v>
      </c>
      <c r="B19" s="11"/>
    </row>
    <row r="21" spans="1:10" x14ac:dyDescent="0.3">
      <c r="A21" s="41" t="s">
        <v>409</v>
      </c>
      <c r="B21" s="10" t="str">
        <f>IF(OR(B17="",B18=""),"",B17+B18)</f>
        <v/>
      </c>
    </row>
    <row r="22" spans="1:10" x14ac:dyDescent="0.3">
      <c r="A22" s="41" t="s">
        <v>410</v>
      </c>
      <c r="B22" s="10" t="str">
        <f>IF(OR(B21="",B19=""),"",B21-B19)</f>
        <v/>
      </c>
    </row>
    <row r="23" spans="1:10" x14ac:dyDescent="0.3">
      <c r="A23" s="41" t="s">
        <v>411</v>
      </c>
      <c r="B23" s="18" t="str">
        <f>IF(OR(B22="",B22=0,D14=""),"", (D14/B22-1))</f>
        <v/>
      </c>
    </row>
    <row r="24" spans="1:10" x14ac:dyDescent="0.3">
      <c r="A24" s="41" t="s">
        <v>412</v>
      </c>
      <c r="B24" s="19" t="str">
        <f>IF(B23="","",IF(ABS(B23)&lt;=0.1,"OK","Fora"))</f>
        <v/>
      </c>
    </row>
    <row r="26" spans="1:10" x14ac:dyDescent="0.3">
      <c r="A26" s="164" t="s">
        <v>413</v>
      </c>
      <c r="B26" s="165"/>
      <c r="C26" s="165"/>
      <c r="D26" s="165"/>
      <c r="E26" s="165"/>
      <c r="F26" s="165"/>
      <c r="G26" s="165"/>
      <c r="H26" s="165"/>
      <c r="I26" s="165"/>
      <c r="J26" s="165"/>
    </row>
    <row r="27" spans="1:10" ht="18" customHeight="1" x14ac:dyDescent="0.3">
      <c r="A27" s="40" t="s">
        <v>414</v>
      </c>
      <c r="B27" s="40" t="s">
        <v>415</v>
      </c>
      <c r="C27" s="40" t="s">
        <v>416</v>
      </c>
      <c r="D27" s="40" t="s">
        <v>13</v>
      </c>
    </row>
    <row r="28" spans="1:10" x14ac:dyDescent="0.3">
      <c r="A28" s="7" t="s">
        <v>417</v>
      </c>
      <c r="B28" s="2"/>
      <c r="C28" s="7" t="s">
        <v>418</v>
      </c>
      <c r="D28" s="2"/>
    </row>
    <row r="29" spans="1:10" x14ac:dyDescent="0.3">
      <c r="A29" s="7" t="s">
        <v>419</v>
      </c>
      <c r="B29" s="2"/>
      <c r="C29" s="7" t="s">
        <v>420</v>
      </c>
      <c r="D29" s="2"/>
    </row>
    <row r="30" spans="1:10" x14ac:dyDescent="0.3">
      <c r="A30" s="7" t="s">
        <v>421</v>
      </c>
      <c r="B30" s="2"/>
      <c r="C30" s="7" t="s">
        <v>422</v>
      </c>
      <c r="D30" s="2"/>
    </row>
    <row r="31" spans="1:10" x14ac:dyDescent="0.3">
      <c r="A31" s="7" t="s">
        <v>423</v>
      </c>
      <c r="B31" s="2">
        <v>1</v>
      </c>
      <c r="C31" s="7" t="s">
        <v>424</v>
      </c>
      <c r="D31" s="2"/>
    </row>
    <row r="34" spans="1:10" x14ac:dyDescent="0.3">
      <c r="A34" s="164" t="s">
        <v>425</v>
      </c>
      <c r="B34" s="165"/>
      <c r="C34" s="165"/>
      <c r="D34" s="165"/>
      <c r="E34" s="165"/>
      <c r="F34" s="165"/>
      <c r="G34" s="165"/>
      <c r="H34" s="165"/>
      <c r="I34" s="165"/>
      <c r="J34" s="165"/>
    </row>
    <row r="35" spans="1:10" x14ac:dyDescent="0.3">
      <c r="A35" s="41" t="s">
        <v>426</v>
      </c>
      <c r="B35" s="13"/>
      <c r="C35" s="41" t="s">
        <v>427</v>
      </c>
      <c r="D35" s="13"/>
      <c r="E35" s="23" t="s">
        <v>428</v>
      </c>
      <c r="F35" s="24" t="str">
        <f>IF(SUM(D38:D45)=0,"",SUMPRODUCT(B38:B45,D38:D45)/SUM(D38:D45))</f>
        <v/>
      </c>
      <c r="G35" s="23" t="s">
        <v>429</v>
      </c>
      <c r="H35" s="24" t="str">
        <f>IF(OR($B$35="",F36=""),"", $B$35/F36)</f>
        <v/>
      </c>
    </row>
    <row r="36" spans="1:10" x14ac:dyDescent="0.3">
      <c r="E36" s="23" t="s">
        <v>430</v>
      </c>
      <c r="F36" s="24" t="str">
        <f>IF(SUM(C38:C45)=0,"",SUMPRODUCT(B38:B45,C38:C45)/SUM(C38:C45))</f>
        <v/>
      </c>
      <c r="G36" s="23" t="s">
        <v>431</v>
      </c>
      <c r="H36" s="24" t="str">
        <f>IF(OR($D$35="",F35=""),"", $D$35/F35)</f>
        <v/>
      </c>
    </row>
    <row r="37" spans="1:10" ht="18" customHeight="1" x14ac:dyDescent="0.3">
      <c r="A37" s="40" t="s">
        <v>145</v>
      </c>
      <c r="B37" s="40" t="s">
        <v>432</v>
      </c>
      <c r="C37" s="40" t="s">
        <v>433</v>
      </c>
      <c r="D37" s="40" t="s">
        <v>434</v>
      </c>
      <c r="E37" s="40" t="s">
        <v>435</v>
      </c>
      <c r="F37" s="24" t="str">
        <f>IF(SUM(C38:C45)=0,"",SUMPRODUCT(B38:B45,C38:C45)/SUM(C38:C45))</f>
        <v/>
      </c>
      <c r="G37" s="23" t="s">
        <v>429</v>
      </c>
      <c r="H37" s="24" t="str">
        <f>IF(OR(B36="",F37=""),"",B36/F37)</f>
        <v/>
      </c>
    </row>
    <row r="38" spans="1:10" x14ac:dyDescent="0.3">
      <c r="A38" s="7" t="s">
        <v>80</v>
      </c>
      <c r="B38" s="43">
        <v>28.013400000000001</v>
      </c>
      <c r="C38" s="11"/>
      <c r="D38" s="11"/>
      <c r="E38" s="10" t="str">
        <f t="shared" ref="E38:E45" si="1">IF($I$46=0,"",I38/$I$46*100)</f>
        <v/>
      </c>
      <c r="F38" s="24" t="str">
        <f>IF(SUM(D38:D45)=0,"",SUMPRODUCT(B38:B45,D38:D45)/SUM(D38:D45))</f>
        <v/>
      </c>
      <c r="G38" s="23" t="s">
        <v>431</v>
      </c>
      <c r="H38" s="24" t="str">
        <f>IF(OR(D36="",F38=""),"",D36/F38)</f>
        <v/>
      </c>
      <c r="I38" s="24" t="str">
        <f t="shared" ref="I38:I45" si="2">IF(OR($H$35="",$H$36=""),"",($H$35*C38/100)+($H$36*D38/100))</f>
        <v/>
      </c>
    </row>
    <row r="39" spans="1:10" x14ac:dyDescent="0.3">
      <c r="A39" s="7" t="s">
        <v>81</v>
      </c>
      <c r="B39" s="43">
        <v>44.009500000000003</v>
      </c>
      <c r="C39" s="11"/>
      <c r="D39" s="11"/>
      <c r="E39" s="10" t="str">
        <f t="shared" si="1"/>
        <v/>
      </c>
      <c r="I39" s="24" t="str">
        <f t="shared" si="2"/>
        <v/>
      </c>
    </row>
    <row r="40" spans="1:10" x14ac:dyDescent="0.3">
      <c r="A40" s="7" t="s">
        <v>85</v>
      </c>
      <c r="B40" s="43">
        <v>16.042999999999999</v>
      </c>
      <c r="C40" s="11"/>
      <c r="D40" s="11"/>
      <c r="E40" s="10" t="str">
        <f t="shared" si="1"/>
        <v/>
      </c>
      <c r="I40" s="24" t="str">
        <f t="shared" si="2"/>
        <v/>
      </c>
    </row>
    <row r="41" spans="1:10" x14ac:dyDescent="0.3">
      <c r="A41" s="7" t="s">
        <v>88</v>
      </c>
      <c r="B41" s="43">
        <v>30.07</v>
      </c>
      <c r="C41" s="11"/>
      <c r="D41" s="11"/>
      <c r="E41" s="10" t="str">
        <f t="shared" si="1"/>
        <v/>
      </c>
      <c r="I41" s="24" t="str">
        <f t="shared" si="2"/>
        <v/>
      </c>
    </row>
    <row r="42" spans="1:10" x14ac:dyDescent="0.3">
      <c r="A42" s="7" t="s">
        <v>91</v>
      </c>
      <c r="B42" s="43">
        <v>44.097000000000001</v>
      </c>
      <c r="C42" s="11"/>
      <c r="D42" s="11"/>
      <c r="E42" s="10" t="str">
        <f t="shared" si="1"/>
        <v/>
      </c>
      <c r="I42" s="24" t="str">
        <f t="shared" si="2"/>
        <v/>
      </c>
    </row>
    <row r="43" spans="1:10" x14ac:dyDescent="0.3">
      <c r="A43" s="7" t="s">
        <v>92</v>
      </c>
      <c r="B43" s="43">
        <v>58.124000000000002</v>
      </c>
      <c r="C43" s="11"/>
      <c r="D43" s="11"/>
      <c r="E43" s="10" t="str">
        <f t="shared" si="1"/>
        <v/>
      </c>
      <c r="I43" s="24" t="str">
        <f t="shared" si="2"/>
        <v/>
      </c>
    </row>
    <row r="44" spans="1:10" x14ac:dyDescent="0.3">
      <c r="A44" s="7" t="s">
        <v>94</v>
      </c>
      <c r="B44" s="43">
        <v>58.124000000000002</v>
      </c>
      <c r="C44" s="11"/>
      <c r="D44" s="11"/>
      <c r="E44" s="10" t="str">
        <f t="shared" si="1"/>
        <v/>
      </c>
      <c r="I44" s="24" t="str">
        <f t="shared" si="2"/>
        <v/>
      </c>
    </row>
    <row r="45" spans="1:10" x14ac:dyDescent="0.3">
      <c r="A45" s="7" t="s">
        <v>436</v>
      </c>
      <c r="B45" s="43">
        <v>72.150999999999996</v>
      </c>
      <c r="C45" s="11"/>
      <c r="D45" s="11"/>
      <c r="E45" s="10" t="str">
        <f t="shared" si="1"/>
        <v/>
      </c>
      <c r="I45" s="24" t="str">
        <f t="shared" si="2"/>
        <v/>
      </c>
    </row>
    <row r="46" spans="1:10" x14ac:dyDescent="0.3">
      <c r="H46" s="23" t="s">
        <v>437</v>
      </c>
      <c r="I46" s="24">
        <f>SUM(I38:I45)</f>
        <v>0</v>
      </c>
    </row>
    <row r="49" spans="1:10" x14ac:dyDescent="0.3">
      <c r="A49" s="164" t="s">
        <v>438</v>
      </c>
      <c r="B49" s="165"/>
      <c r="C49" s="165"/>
      <c r="D49" s="165"/>
      <c r="E49" s="165"/>
      <c r="F49" s="165"/>
      <c r="G49" s="165"/>
      <c r="H49" s="165"/>
      <c r="I49" s="165"/>
      <c r="J49" s="165"/>
    </row>
    <row r="50" spans="1:10" ht="18" customHeight="1" x14ac:dyDescent="0.3">
      <c r="A50" s="40" t="s">
        <v>439</v>
      </c>
      <c r="B50" s="40" t="s">
        <v>440</v>
      </c>
      <c r="C50" s="40" t="s">
        <v>441</v>
      </c>
      <c r="D50" s="40" t="s">
        <v>442</v>
      </c>
    </row>
    <row r="51" spans="1:10" x14ac:dyDescent="0.3">
      <c r="A51" s="7" t="s">
        <v>443</v>
      </c>
      <c r="B51" s="13"/>
      <c r="C51" s="13"/>
      <c r="D51" s="13"/>
    </row>
    <row r="52" spans="1:10" x14ac:dyDescent="0.3">
      <c r="A52" s="7" t="s">
        <v>444</v>
      </c>
      <c r="B52" s="13"/>
      <c r="C52" s="13"/>
      <c r="D52" s="13"/>
    </row>
    <row r="53" spans="1:10" x14ac:dyDescent="0.3">
      <c r="A53" s="7" t="s">
        <v>445</v>
      </c>
      <c r="B53" s="8" t="s">
        <v>163</v>
      </c>
      <c r="C53" s="8" t="s">
        <v>163</v>
      </c>
      <c r="D53" s="5" t="str">
        <f>IF(OR(D51="",D52=""),"",D51-D52)</f>
        <v/>
      </c>
    </row>
  </sheetData>
  <mergeCells count="7">
    <mergeCell ref="B1:J1"/>
    <mergeCell ref="A2:J2"/>
    <mergeCell ref="A4:J4"/>
    <mergeCell ref="A16:J16"/>
    <mergeCell ref="A49:J49"/>
    <mergeCell ref="A26:J26"/>
    <mergeCell ref="A34:J34"/>
  </mergeCells>
  <conditionalFormatting sqref="B24">
    <cfRule type="expression" dxfId="4" priority="1">
      <formula>B24="Fora"</formula>
    </cfRule>
  </conditionalFormatting>
  <conditionalFormatting sqref="D28:D31">
    <cfRule type="expression" dxfId="3" priority="2">
      <formula>D28="Fora"</formula>
    </cfRule>
  </conditionalFormatting>
  <dataValidations count="1">
    <dataValidation type="list" allowBlank="1" sqref="D28:D31" xr:uid="{00000000-0002-0000-0500-000000000000}">
      <formula1>"OK,Fora,Revisar"</formula1>
    </dataValidation>
  </dataValidations>
  <pageMargins left="0.75" right="0.75" top="1" bottom="1" header="0.5" footer="0.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F24"/>
  <sheetViews>
    <sheetView showGridLines="0" workbookViewId="0">
      <pane ySplit="4" topLeftCell="A5" activePane="bottomLeft" state="frozen"/>
      <selection pane="bottomLeft" activeCell="A25" sqref="A25"/>
    </sheetView>
  </sheetViews>
  <sheetFormatPr defaultRowHeight="14.4" x14ac:dyDescent="0.3"/>
  <cols>
    <col min="1" max="1" width="36" customWidth="1"/>
    <col min="2" max="2" width="50" customWidth="1"/>
    <col min="3" max="6" width="20" customWidth="1"/>
  </cols>
  <sheetData>
    <row r="1" spans="1:6" ht="54" customHeight="1" x14ac:dyDescent="0.3">
      <c r="A1" s="38"/>
      <c r="B1" s="152" t="s">
        <v>9</v>
      </c>
      <c r="C1" s="152"/>
      <c r="D1" s="152"/>
      <c r="E1" s="152"/>
      <c r="F1" s="152"/>
    </row>
    <row r="2" spans="1:6" ht="19.95" customHeight="1" x14ac:dyDescent="0.35">
      <c r="A2" s="144" t="s">
        <v>446</v>
      </c>
      <c r="B2" s="145"/>
      <c r="C2" s="145"/>
      <c r="D2" s="145"/>
      <c r="E2" s="145"/>
      <c r="F2" s="145"/>
    </row>
    <row r="4" spans="1:6" x14ac:dyDescent="0.3">
      <c r="A4" s="164" t="s">
        <v>447</v>
      </c>
      <c r="B4" s="165"/>
      <c r="C4" s="165"/>
      <c r="D4" s="165"/>
      <c r="E4" s="165"/>
      <c r="F4" s="165"/>
    </row>
    <row r="5" spans="1:6" x14ac:dyDescent="0.3">
      <c r="A5" s="41" t="s">
        <v>12</v>
      </c>
      <c r="B5" s="25">
        <f>REGISTRO!B5</f>
        <v>0</v>
      </c>
    </row>
    <row r="6" spans="1:6" x14ac:dyDescent="0.3">
      <c r="A6" s="41" t="s">
        <v>25</v>
      </c>
      <c r="B6" s="25">
        <f>REGISTRO!B15</f>
        <v>0</v>
      </c>
    </row>
    <row r="7" spans="1:6" x14ac:dyDescent="0.3">
      <c r="A7" s="41" t="s">
        <v>448</v>
      </c>
      <c r="B7" s="25">
        <f>REGISTRO!D15</f>
        <v>0</v>
      </c>
    </row>
    <row r="8" spans="1:6" x14ac:dyDescent="0.3">
      <c r="A8" s="41" t="s">
        <v>449</v>
      </c>
      <c r="B8" s="25">
        <f>PVT_NOVA_AS_LEFT!B5</f>
        <v>0</v>
      </c>
    </row>
    <row r="9" spans="1:6" x14ac:dyDescent="0.3">
      <c r="A9" s="41" t="s">
        <v>450</v>
      </c>
      <c r="B9" s="26">
        <f>REGISTRO!D24</f>
        <v>0</v>
      </c>
    </row>
    <row r="10" spans="1:6" x14ac:dyDescent="0.3">
      <c r="A10" s="41" t="s">
        <v>451</v>
      </c>
      <c r="B10" s="26">
        <f>REGISTRO!D25</f>
        <v>0</v>
      </c>
    </row>
    <row r="11" spans="1:6" x14ac:dyDescent="0.3">
      <c r="A11" s="41" t="s">
        <v>452</v>
      </c>
      <c r="B11" s="27">
        <f>REGISTRO!D26</f>
        <v>0</v>
      </c>
    </row>
    <row r="14" spans="1:6" x14ac:dyDescent="0.3">
      <c r="A14" s="164" t="s">
        <v>453</v>
      </c>
      <c r="B14" s="165"/>
      <c r="C14" s="165"/>
      <c r="D14" s="165"/>
      <c r="E14" s="165"/>
      <c r="F14" s="165"/>
    </row>
    <row r="15" spans="1:6" ht="18" customHeight="1" x14ac:dyDescent="0.3">
      <c r="A15" s="40" t="s">
        <v>454</v>
      </c>
      <c r="B15" s="40" t="s">
        <v>173</v>
      </c>
      <c r="C15" s="40" t="s">
        <v>13</v>
      </c>
    </row>
    <row r="16" spans="1:6" x14ac:dyDescent="0.3">
      <c r="A16" s="7" t="s">
        <v>324</v>
      </c>
      <c r="B16" s="20">
        <f>K_Fatores!C25</f>
        <v>0</v>
      </c>
      <c r="C16" s="19" t="str">
        <f>IF(B16="","",IF(AND(B16&gt;=K_Fatores!$B$5,B16&lt;=K_Fatores!$B$6),"OK","Fora"))</f>
        <v>OK</v>
      </c>
    </row>
    <row r="17" spans="1:6" x14ac:dyDescent="0.3">
      <c r="A17" s="7" t="s">
        <v>325</v>
      </c>
      <c r="B17" s="20">
        <f>K_Fatores!C26</f>
        <v>0</v>
      </c>
      <c r="C17" s="19" t="str">
        <f>IF(B17="","",IF(AND(B17&gt;=K_Fatores!$B$5,B17&lt;=K_Fatores!$B$6),"OK","Fora"))</f>
        <v>OK</v>
      </c>
    </row>
    <row r="18" spans="1:6" x14ac:dyDescent="0.3">
      <c r="A18" s="7" t="s">
        <v>326</v>
      </c>
      <c r="B18" s="20">
        <f>K_Fatores!C27</f>
        <v>0</v>
      </c>
      <c r="C18" s="19" t="str">
        <f>IF(B18="","",IF(AND(B18&gt;=K_Fatores!$B$5,B18&lt;=K_Fatores!$B$6),"OK","Fora"))</f>
        <v>OK</v>
      </c>
    </row>
    <row r="19" spans="1:6" x14ac:dyDescent="0.3">
      <c r="A19" s="7" t="s">
        <v>455</v>
      </c>
      <c r="B19" s="21">
        <f>K_Fatores!F35</f>
        <v>0</v>
      </c>
      <c r="C19" s="19">
        <f>K_Fatores!H35</f>
        <v>0</v>
      </c>
    </row>
    <row r="20" spans="1:6" x14ac:dyDescent="0.3">
      <c r="A20" s="7" t="s">
        <v>456</v>
      </c>
      <c r="B20" s="21">
        <f>K_Fatores!F36</f>
        <v>0</v>
      </c>
      <c r="C20" s="19">
        <f>K_Fatores!H36</f>
        <v>0</v>
      </c>
    </row>
    <row r="23" spans="1:6" x14ac:dyDescent="0.3">
      <c r="A23" s="164" t="s">
        <v>457</v>
      </c>
      <c r="B23" s="165"/>
      <c r="C23" s="165"/>
      <c r="D23" s="165"/>
      <c r="E23" s="165"/>
      <c r="F23" s="165"/>
    </row>
    <row r="24" spans="1:6" x14ac:dyDescent="0.3">
      <c r="A24" s="41" t="s">
        <v>458</v>
      </c>
      <c r="B24" s="19" t="str">
        <f>IF(COUNTIF(C16:C20,"Fora")&gt;0,"REPROVADO","APROVADO")</f>
        <v>APROVADO</v>
      </c>
    </row>
  </sheetData>
  <mergeCells count="5">
    <mergeCell ref="A4:F4"/>
    <mergeCell ref="A14:F14"/>
    <mergeCell ref="A2:F2"/>
    <mergeCell ref="A23:F23"/>
    <mergeCell ref="B1:F1"/>
  </mergeCells>
  <conditionalFormatting sqref="B24">
    <cfRule type="expression" dxfId="2" priority="6">
      <formula>B24="REPROVADO"</formula>
    </cfRule>
    <cfRule type="expression" dxfId="1" priority="7">
      <formula>B24="APROVADO"</formula>
    </cfRule>
  </conditionalFormatting>
  <conditionalFormatting sqref="C16:C20">
    <cfRule type="expression" dxfId="0" priority="1">
      <formula>C16="Fora"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7E2D-B60A-4FF0-B8EC-D85B6C4F9899}">
  <dimension ref="A1:K15"/>
  <sheetViews>
    <sheetView workbookViewId="0">
      <selection activeCell="F43" sqref="F43"/>
    </sheetView>
  </sheetViews>
  <sheetFormatPr defaultColWidth="17.77734375" defaultRowHeight="14.4" x14ac:dyDescent="0.3"/>
  <cols>
    <col min="1" max="1" width="33" bestFit="1" customWidth="1"/>
    <col min="2" max="2" width="29.33203125" customWidth="1"/>
    <col min="3" max="3" width="44.44140625" customWidth="1"/>
    <col min="4" max="4" width="39.33203125" customWidth="1"/>
    <col min="5" max="5" width="22.33203125" bestFit="1" customWidth="1"/>
    <col min="6" max="6" width="45.5546875" customWidth="1"/>
    <col min="7" max="7" width="21.44140625" customWidth="1"/>
    <col min="8" max="8" width="10.6640625" bestFit="1" customWidth="1"/>
    <col min="9" max="9" width="7.6640625" bestFit="1" customWidth="1"/>
    <col min="10" max="10" width="20.44140625" bestFit="1" customWidth="1"/>
    <col min="11" max="11" width="20.109375" bestFit="1" customWidth="1"/>
  </cols>
  <sheetData>
    <row r="1" spans="1:11" x14ac:dyDescent="0.3">
      <c r="A1" s="117" t="s">
        <v>460</v>
      </c>
      <c r="B1" s="117" t="s">
        <v>13</v>
      </c>
      <c r="C1" s="117" t="s">
        <v>461</v>
      </c>
      <c r="D1" s="117" t="s">
        <v>462</v>
      </c>
      <c r="E1" s="117" t="s">
        <v>463</v>
      </c>
      <c r="F1" s="117" t="s">
        <v>464</v>
      </c>
      <c r="G1" s="117" t="s">
        <v>465</v>
      </c>
      <c r="H1" s="117" t="s">
        <v>466</v>
      </c>
      <c r="I1" s="117" t="s">
        <v>467</v>
      </c>
      <c r="J1" s="117" t="s">
        <v>468</v>
      </c>
      <c r="K1" s="117" t="s">
        <v>469</v>
      </c>
    </row>
    <row r="2" spans="1:11" x14ac:dyDescent="0.3">
      <c r="A2" t="s">
        <v>470</v>
      </c>
      <c r="B2" s="118" t="s">
        <v>471</v>
      </c>
      <c r="C2" s="118" t="s">
        <v>472</v>
      </c>
      <c r="D2" s="118" t="s">
        <v>473</v>
      </c>
      <c r="E2" t="s">
        <v>474</v>
      </c>
      <c r="F2" s="118" t="s">
        <v>475</v>
      </c>
      <c r="G2" s="118" t="s">
        <v>476</v>
      </c>
      <c r="H2" s="118" t="s">
        <v>477</v>
      </c>
      <c r="I2" s="118" t="s">
        <v>478</v>
      </c>
      <c r="J2" s="118" t="s">
        <v>479</v>
      </c>
      <c r="K2" t="s">
        <v>480</v>
      </c>
    </row>
    <row r="3" spans="1:11" x14ac:dyDescent="0.3">
      <c r="A3" t="s">
        <v>481</v>
      </c>
      <c r="B3" s="118" t="s">
        <v>482</v>
      </c>
      <c r="C3" s="118" t="s">
        <v>483</v>
      </c>
      <c r="D3" s="118" t="s">
        <v>484</v>
      </c>
      <c r="E3" t="s">
        <v>485</v>
      </c>
      <c r="F3" s="118" t="s">
        <v>486</v>
      </c>
      <c r="G3" s="118" t="s">
        <v>487</v>
      </c>
      <c r="H3" s="118" t="s">
        <v>488</v>
      </c>
      <c r="I3" s="118" t="s">
        <v>489</v>
      </c>
      <c r="J3" s="118" t="s">
        <v>490</v>
      </c>
      <c r="K3" t="s">
        <v>491</v>
      </c>
    </row>
    <row r="4" spans="1:11" x14ac:dyDescent="0.3">
      <c r="A4" t="s">
        <v>492</v>
      </c>
      <c r="B4" s="118" t="s">
        <v>493</v>
      </c>
      <c r="C4" t="s">
        <v>494</v>
      </c>
      <c r="D4" t="s">
        <v>495</v>
      </c>
      <c r="E4" t="s">
        <v>496</v>
      </c>
      <c r="F4" s="118" t="s">
        <v>497</v>
      </c>
      <c r="G4" s="118" t="s">
        <v>498</v>
      </c>
      <c r="H4" s="118" t="s">
        <v>499</v>
      </c>
      <c r="I4" s="118" t="s">
        <v>500</v>
      </c>
      <c r="J4" s="118" t="s">
        <v>501</v>
      </c>
      <c r="K4" t="s">
        <v>502</v>
      </c>
    </row>
    <row r="5" spans="1:11" x14ac:dyDescent="0.3">
      <c r="A5" t="s">
        <v>503</v>
      </c>
      <c r="B5" s="118" t="s">
        <v>504</v>
      </c>
      <c r="D5" s="118" t="s">
        <v>505</v>
      </c>
      <c r="E5" t="s">
        <v>506</v>
      </c>
      <c r="F5" s="118" t="s">
        <v>507</v>
      </c>
      <c r="G5" s="118" t="s">
        <v>508</v>
      </c>
      <c r="H5" s="118" t="s">
        <v>509</v>
      </c>
      <c r="J5" s="118" t="s">
        <v>510</v>
      </c>
      <c r="K5" t="s">
        <v>503</v>
      </c>
    </row>
    <row r="6" spans="1:11" x14ac:dyDescent="0.3">
      <c r="B6" s="118" t="s">
        <v>511</v>
      </c>
      <c r="D6" s="118" t="s">
        <v>512</v>
      </c>
      <c r="E6" t="s">
        <v>513</v>
      </c>
      <c r="F6" s="118" t="s">
        <v>514</v>
      </c>
      <c r="G6" s="118" t="s">
        <v>515</v>
      </c>
    </row>
    <row r="7" spans="1:11" x14ac:dyDescent="0.3">
      <c r="B7" s="118" t="s">
        <v>516</v>
      </c>
      <c r="D7" s="118" t="s">
        <v>517</v>
      </c>
      <c r="E7" s="118"/>
      <c r="F7" s="118" t="s">
        <v>518</v>
      </c>
    </row>
    <row r="8" spans="1:11" x14ac:dyDescent="0.3">
      <c r="B8" s="118" t="s">
        <v>519</v>
      </c>
      <c r="D8" s="118" t="s">
        <v>520</v>
      </c>
      <c r="E8" s="118"/>
      <c r="F8" s="118" t="s">
        <v>503</v>
      </c>
    </row>
    <row r="9" spans="1:11" x14ac:dyDescent="0.3">
      <c r="B9" s="119" t="s">
        <v>233</v>
      </c>
      <c r="D9" s="119" t="s">
        <v>521</v>
      </c>
      <c r="E9" s="1"/>
      <c r="F9" s="119" t="s">
        <v>522</v>
      </c>
    </row>
    <row r="10" spans="1:11" x14ac:dyDescent="0.3">
      <c r="B10" s="119" t="s">
        <v>500</v>
      </c>
      <c r="D10" s="118" t="s">
        <v>523</v>
      </c>
      <c r="E10" s="1"/>
    </row>
    <row r="11" spans="1:11" x14ac:dyDescent="0.3">
      <c r="B11" s="119" t="s">
        <v>524</v>
      </c>
      <c r="D11" s="118" t="s">
        <v>525</v>
      </c>
      <c r="E11" s="1"/>
    </row>
    <row r="12" spans="1:11" x14ac:dyDescent="0.3">
      <c r="B12" s="119" t="s">
        <v>526</v>
      </c>
      <c r="D12" s="118" t="s">
        <v>527</v>
      </c>
      <c r="E12" s="1"/>
    </row>
    <row r="13" spans="1:11" x14ac:dyDescent="0.3">
      <c r="D13" s="118" t="s">
        <v>528</v>
      </c>
      <c r="E13" s="1"/>
    </row>
    <row r="14" spans="1:11" x14ac:dyDescent="0.3">
      <c r="D14" s="118" t="s">
        <v>503</v>
      </c>
      <c r="E14" s="1"/>
    </row>
    <row r="15" spans="1:11" x14ac:dyDescent="0.3">
      <c r="D15" t="s">
        <v>529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632f762b19c46329b06e4a329cb5038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EXPLORATION ＆ PRODUCTION INTERNATIONAL (EPI)</TermName>
          <TermId xmlns="http://schemas.microsoft.com/office/infopath/2007/PartnerControls">76777ab9-3b5c-45dc-b1bf-cae5e8c2a234</TermId>
        </TermInfo>
      </Terms>
    </d632f762b19c46329b06e4a329cb5038>
    <o6fe11a35735487dac377a215490fa4b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Office 365</TermName>
          <TermId xmlns="http://schemas.microsoft.com/office/infopath/2007/PartnerControls">23cc2eaf-b88f-49bf-9aee-2309aadb8846</TermId>
        </TermInfo>
      </Terms>
    </o6fe11a35735487dac377a215490fa4b>
    <m0347c9175b146a684f1230523809245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Fiscal metering systems ＆ field allocation</TermName>
          <TermId xmlns="http://schemas.microsoft.com/office/infopath/2007/PartnerControls">9d88b364-b47a-4a1e-8100-07f26438537d</TermId>
        </TermInfo>
      </Terms>
    </m0347c9175b146a684f1230523809245>
    <mbf6ec96a4d94feeaf76fee4d5d0c80e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Brazil</TermName>
          <TermId xmlns="http://schemas.microsoft.com/office/infopath/2007/PartnerControls">d641e264-f157-42ed-8f97-e17c8f6cf33a</TermId>
        </TermInfo>
      </Terms>
    </mbf6ec96a4d94feeaf76fee4d5d0c80e>
    <TaxCatchAll xmlns="ea1a9bfc-76a9-4942-bb84-a249f7d50da2">
      <Value>11</Value>
      <Value>10</Value>
      <Value>9</Value>
      <Value>8</Value>
      <Value>7</Value>
      <Value>6</Value>
      <Value>5</Value>
      <Value>4</Value>
      <Value>3</Value>
      <Value>2</Value>
    </TaxCatchAll>
    <g971e9ce8060489b80a056801d36d93d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Technical integrity management</TermName>
          <TermId xmlns="http://schemas.microsoft.com/office/infopath/2007/PartnerControls">ce6b1ab7-1aca-4450-a1c0-cb6e89a524cc</TermId>
        </TermInfo>
      </Terms>
    </g971e9ce8060489b80a056801d36d93d>
    <c71f94430ee24530b6af52dc58e8598c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Operation and Maintenance documentation</TermName>
          <TermId xmlns="http://schemas.microsoft.com/office/infopath/2007/PartnerControls">4767e6fc-97fe-4895-ba5a-80e461cbd45d</TermId>
        </TermInfo>
      </Terms>
    </c71f94430ee24530b6af52dc58e8598c>
    <gd56e2644879487f8da67586944cf0f5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af4d3abd-d88d-48b7-8fea-db9baac9496f</TermId>
        </TermInfo>
      </Terms>
    </gd56e2644879487f8da67586944cf0f5>
    <m9e92212f5fa42fa9b52bc2f3224e0af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Equinor Brasil Energia Ltda.</TermName>
          <TermId xmlns="http://schemas.microsoft.com/office/infopath/2007/PartnerControls">5b4a339c-2b69-419f-be0c-27e975216a58</TermId>
        </TermInfo>
      </Terms>
    </m9e92212f5fa42fa9b52bc2f3224e0af>
    <b519d5ff8fc64ffea9cb9a4c0b377271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Internal</TermName>
          <TermId xmlns="http://schemas.microsoft.com/office/infopath/2007/PartnerControls">3361fef0-33ac-457d-8a1d-df19735ffcb1</TermId>
        </TermInfo>
      </Terms>
    </b519d5ff8fc64ffea9cb9a4c0b377271>
    <lcf76f155ced4ddcb4097134ff3c332f xmlns="00bf9c0c-280a-47c4-848b-352c5e04b4bb">
      <Terms xmlns="http://schemas.microsoft.com/office/infopath/2007/PartnerControls"/>
    </lcf76f155ced4ddcb4097134ff3c332f>
    <hfb23c77fa4f4618a5f446ac03ac12ab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Operation and maintenance (OM)</TermName>
          <TermId xmlns="http://schemas.microsoft.com/office/infopath/2007/PartnerControls">2f792156-1444-4990-b757-a571494857be</TermId>
        </TermInfo>
      </Terms>
    </hfb23c77fa4f4618a5f446ac03ac12ab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02f74cf1-ae9f-400d-bc52-3bcd3a9e177f" ContentTypeId="0x0101" PreviousValue="false" LastSyncTimeStamp="2017-04-04T06:38:12.213Z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Equinor Document" ma:contentTypeID="0x01010021A623C39873404E8BA89587BD4428B401009C255F5FAD777141BBEE067A11771F0A" ma:contentTypeVersion="13" ma:contentTypeDescription="Create a new document." ma:contentTypeScope="" ma:versionID="50731b40e213b3afe4b8af6ee1e92002">
  <xsd:schema xmlns:xsd="http://www.w3.org/2001/XMLSchema" xmlns:xs="http://www.w3.org/2001/XMLSchema" xmlns:p="http://schemas.microsoft.com/office/2006/metadata/properties" xmlns:ns2="ea1a9bfc-76a9-4942-bb84-a249f7d50da2" xmlns:ns3="00bf9c0c-280a-47c4-848b-352c5e04b4bb" targetNamespace="http://schemas.microsoft.com/office/2006/metadata/properties" ma:root="true" ma:fieldsID="6b401f035e2a0b3eccfb06497d65f2ea" ns2:_="" ns3:_="">
    <xsd:import namespace="ea1a9bfc-76a9-4942-bb84-a249f7d50da2"/>
    <xsd:import namespace="00bf9c0c-280a-47c4-848b-352c5e04b4bb"/>
    <xsd:element name="properties">
      <xsd:complexType>
        <xsd:sequence>
          <xsd:element name="documentManagement">
            <xsd:complexType>
              <xsd:all>
                <xsd:element ref="ns2:d632f762b19c46329b06e4a329cb5038" minOccurs="0"/>
                <xsd:element ref="ns2:TaxCatchAll" minOccurs="0"/>
                <xsd:element ref="ns2:TaxCatchAllLabel" minOccurs="0"/>
                <xsd:element ref="ns2:mbf6ec96a4d94feeaf76fee4d5d0c80e" minOccurs="0"/>
                <xsd:element ref="ns2:c71f94430ee24530b6af52dc58e8598c" minOccurs="0"/>
                <xsd:element ref="ns2:m9e92212f5fa42fa9b52bc2f3224e0af" minOccurs="0"/>
                <xsd:element ref="ns2:hfb23c77fa4f4618a5f446ac03ac12ab" minOccurs="0"/>
                <xsd:element ref="ns2:g971e9ce8060489b80a056801d36d93d" minOccurs="0"/>
                <xsd:element ref="ns2:b519d5ff8fc64ffea9cb9a4c0b377271" minOccurs="0"/>
                <xsd:element ref="ns2:o6fe11a35735487dac377a215490fa4b" minOccurs="0"/>
                <xsd:element ref="ns2:gd56e2644879487f8da67586944cf0f5" minOccurs="0"/>
                <xsd:element ref="ns2:m0347c9175b146a684f1230523809245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BillingMetadata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9bfc-76a9-4942-bb84-a249f7d50da2" elementFormDefault="qualified">
    <xsd:import namespace="http://schemas.microsoft.com/office/2006/documentManagement/types"/>
    <xsd:import namespace="http://schemas.microsoft.com/office/infopath/2007/PartnerControls"/>
    <xsd:element name="d632f762b19c46329b06e4a329cb5038" ma:index="8" ma:taxonomy="true" ma:internalName="d632f762b19c46329b06e4a329cb5038" ma:taxonomyFieldName="EIMBusinessArea" ma:displayName="Business Area" ma:default="5;#EXPLORATION ＆ PRODUCTION INTERNATIONAL (EPI)|76777ab9-3b5c-45dc-b1bf-cae5e8c2a234" ma:fieldId="{d632f762-b19c-4632-9b06-e4a329cb5038}" ma:sspId="02f74cf1-ae9f-400d-bc52-3bcd3a9e177f" ma:termSetId="a8ca9a86-9113-48ea-8063-579000373f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9" nillable="true" ma:displayName="Taxonomy Catch All Column" ma:hidden="true" ma:list="{8403d765-f298-4139-8e58-d4c0261276bd}" ma:internalName="TaxCatchAll" ma:showField="CatchAllData" ma:web="ea1a9bfc-76a9-4942-bb84-a249f7d50da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8403d765-f298-4139-8e58-d4c0261276bd}" ma:internalName="TaxCatchAllLabel" ma:readOnly="true" ma:showField="CatchAllDataLabel" ma:web="ea1a9bfc-76a9-4942-bb84-a249f7d50da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bf6ec96a4d94feeaf76fee4d5d0c80e" ma:index="12" ma:taxonomy="true" ma:internalName="mbf6ec96a4d94feeaf76fee4d5d0c80e" ma:taxonomyFieldName="EIMCountry" ma:displayName="Country" ma:default="6;#Brazil|d641e264-f157-42ed-8f97-e17c8f6cf33a" ma:fieldId="{6bf6ec96-a4d9-4fee-af76-fee4d5d0c80e}" ma:taxonomyMulti="true" ma:sspId="02f74cf1-ae9f-400d-bc52-3bcd3a9e177f" ma:termSetId="0250f7c1-058f-435e-97fc-c7f58584592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71f94430ee24530b6af52dc58e8598c" ma:index="14" ma:taxonomy="true" ma:internalName="c71f94430ee24530b6af52dc58e8598c" ma:taxonomyFieldName="EIMInformationAsset" ma:displayName="Information type" ma:default="10;#Operation and Maintenance documentation|4767e6fc-97fe-4895-ba5a-80e461cbd45d" ma:fieldId="{c71f9443-0ee2-4530-b6af-52dc58e8598c}" ma:sspId="02f74cf1-ae9f-400d-bc52-3bcd3a9e177f" ma:termSetId="b76f03a6-1db7-44cf-ab25-1870b16029a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9e92212f5fa42fa9b52bc2f3224e0af" ma:index="16" ma:taxonomy="true" ma:internalName="m9e92212f5fa42fa9b52bc2f3224e0af" ma:taxonomyFieldName="EIMLegalEntity" ma:displayName="Legal Entity" ma:default="7;#Equinor Brasil Energia Ltda.|5b4a339c-2b69-419f-be0c-27e975216a58" ma:fieldId="{69e92212-f5fa-42fa-9b52-bc2f3224e0af}" ma:sspId="02f74cf1-ae9f-400d-bc52-3bcd3a9e177f" ma:termSetId="547ebc0c-73a3-4a88-b498-ea2a950fe2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fb23c77fa4f4618a5f446ac03ac12ab" ma:index="18" ma:taxonomy="true" ma:internalName="hfb23c77fa4f4618a5f446ac03ac12ab" ma:taxonomyFieldName="EIMProcessArea" ma:displayName="Business capability level 1" ma:default="8;#Operation and maintenance (OM)|2f792156-1444-4990-b757-a571494857be" ma:fieldId="{1fb23c77-fa4f-4618-a5f4-46ac03ac12ab}" ma:sspId="02f74cf1-ae9f-400d-bc52-3bcd3a9e177f" ma:termSetId="041c847a-4248-484c-8e89-6aba1a2f3a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971e9ce8060489b80a056801d36d93d" ma:index="20" ma:taxonomy="true" ma:internalName="g971e9ce8060489b80a056801d36d93d" ma:taxonomyFieldName="EIMProcess" ma:displayName="Business capability level 2" ma:default="9;#Technical integrity management|ce6b1ab7-1aca-4450-a1c0-cb6e89a524cc" ma:fieldId="{0971e9ce-8060-489b-80a0-56801d36d93d}" ma:sspId="02f74cf1-ae9f-400d-bc52-3bcd3a9e177f" ma:termSetId="3b80e1d2-5900-412d-b185-fa8652847d1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519d5ff8fc64ffea9cb9a4c0b377271" ma:index="22" ma:taxonomy="true" ma:internalName="b519d5ff8fc64ffea9cb9a4c0b377271" ma:taxonomyFieldName="EIMSecurityClassification" ma:displayName="Security Classification" ma:default="4;#Internal|3361fef0-33ac-457d-8a1d-df19735ffcb1" ma:fieldId="{b519d5ff-8fc6-4ffe-a9cb-9a4c0b377271}" ma:sspId="02f74cf1-ae9f-400d-bc52-3bcd3a9e177f" ma:termSetId="6586e8a5-4521-47b6-a267-a502c9a77ea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6fe11a35735487dac377a215490fa4b" ma:index="24" nillable="true" ma:taxonomy="true" ma:internalName="o6fe11a35735487dac377a215490fa4b" ma:taxonomyFieldName="EIMSource" ma:displayName="Source" ma:default="3;#Office 365|23cc2eaf-b88f-49bf-9aee-2309aadb8846" ma:fieldId="{86fe11a3-5735-487d-ac37-7a215490fa4b}" ma:sspId="02f74cf1-ae9f-400d-bc52-3bcd3a9e177f" ma:termSetId="68f706c4-2129-47d0-b770-1bab961b61b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d56e2644879487f8da67586944cf0f5" ma:index="26" ma:taxonomy="true" ma:internalName="gd56e2644879487f8da67586944cf0f5" ma:taxonomyFieldName="EIMStatus" ma:displayName="Status" ma:default="2;#Draft|af4d3abd-d88d-48b7-8fea-db9baac9496f" ma:fieldId="{0d56e264-4879-487f-8da6-7586944cf0f5}" ma:sspId="02f74cf1-ae9f-400d-bc52-3bcd3a9e177f" ma:termSetId="ee819452-dde8-4ad2-a8b9-030bdfafa61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0347c9175b146a684f1230523809245" ma:index="28" nillable="true" ma:taxonomy="true" ma:internalName="m0347c9175b146a684f1230523809245" ma:taxonomyFieldName="EIMDiscipline" ma:displayName="Discipline" ma:default="11;#Fiscal metering systems ＆ field allocation|9d88b364-b47a-4a1e-8100-07f26438537d" ma:fieldId="{60347c91-75b1-46a6-84f1-230523809245}" ma:taxonomyMulti="true" ma:sspId="02f74cf1-ae9f-400d-bc52-3bcd3a9e177f" ma:termSetId="d1866989-1eec-46c3-b7d1-bd44d164569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bf9c0c-280a-47c4-848b-352c5e04b4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3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3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35" nillable="true" ma:taxonomy="true" ma:internalName="lcf76f155ced4ddcb4097134ff3c332f" ma:taxonomyFieldName="MediaServiceImageTags" ma:displayName="Image Tags" ma:readOnly="false" ma:fieldId="{5cf76f15-5ced-4ddc-b409-7134ff3c332f}" ma:taxonomyMulti="true" ma:sspId="02f74cf1-ae9f-400d-bc52-3bcd3a9e17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3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3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BillingMetadata" ma:index="40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LengthInSeconds" ma:index="4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DC705C3-875F-48DB-9AF5-1E365FF2F65D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00bf9c0c-280a-47c4-848b-352c5e04b4bb"/>
    <ds:schemaRef ds:uri="ea1a9bfc-76a9-4942-bb84-a249f7d50da2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5234EC6-B51B-43A9-855B-45B75BA6E5F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422515-0F9F-41EA-A07B-171EE79BE646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3B78C573-4D53-4F51-97FB-1D1B81D079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a9bfc-76a9-4942-bb84-a249f7d50da2"/>
    <ds:schemaRef ds:uri="00bf9c0c-280a-47c4-848b-352c5e04b4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c0fd9d9-30b4-46b7-8b7b-c1b67ed693a5}" enabled="1" method="Standard" siteId="{3aa4a235-b6e2-48d5-9195-7fcf05b459b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Instrucoes</vt:lpstr>
      <vt:lpstr>REGISTRO</vt:lpstr>
      <vt:lpstr>Sheet1</vt:lpstr>
      <vt:lpstr>PVT_AS_FOUND</vt:lpstr>
      <vt:lpstr>PVT_NOVA_AS_LEFT</vt:lpstr>
      <vt:lpstr>TOTALIZADOR 24h</vt:lpstr>
      <vt:lpstr>Totalizador 24h 21_01</vt:lpstr>
      <vt:lpstr>K_Fatores</vt:lpstr>
      <vt:lpstr>Pos_Monitoramento</vt:lpstr>
      <vt:lpstr>Alarmes_Eventos</vt:lpstr>
      <vt:lpstr>Ocorrência Atividade</vt:lpstr>
      <vt:lpstr>Balanco_HC_GasLift</vt:lpstr>
      <vt:lpstr>Relatorio</vt:lpstr>
      <vt:lpstr>Listas</vt:lpstr>
      <vt:lpstr>'Ocorrência Atividade'!Print_Area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Mauricio Anízio de Amorim (Swift Technical Serv Tec Es</cp:lastModifiedBy>
  <cp:revision/>
  <dcterms:created xsi:type="dcterms:W3CDTF">2026-01-15T08:53:12Z</dcterms:created>
  <dcterms:modified xsi:type="dcterms:W3CDTF">2026-01-28T10:10:14Z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0x01010021A623C39873404E8BA89587BD4428B401009C255F5FAD777141BBEE067A11771F0A</vt:lpwstr>
  </property>
  <property fmtid="{D5CDD505-2E9C-101B-9397-08002B2CF9AE}" pid="3" name="EIMDiscipline">
    <vt:lpwstr>11;#Fiscal metering systems ＆ field allocation|9d88b364-b47a-4a1e-8100-07f26438537d</vt:lpwstr>
  </property>
  <property fmtid="{D5CDD505-2E9C-101B-9397-08002B2CF9AE}" pid="4" name="EIMInformationAsset">
    <vt:lpwstr>10;#Operation and Maintenance documentation|4767e6fc-97fe-4895-ba5a-80e461cbd45d</vt:lpwstr>
  </property>
  <property fmtid="{D5CDD505-2E9C-101B-9397-08002B2CF9AE}" pid="5" name="EIMProcessArea">
    <vt:lpwstr>8;#Operation and maintenance (OM)|2f792156-1444-4990-b757-a571494857be</vt:lpwstr>
  </property>
  <property fmtid="{D5CDD505-2E9C-101B-9397-08002B2CF9AE}" pid="6" name="EIMLegalEntity">
    <vt:lpwstr>7;#Equinor Brasil Energia Ltda.|5b4a339c-2b69-419f-be0c-27e975216a58</vt:lpwstr>
  </property>
  <property fmtid="{D5CDD505-2E9C-101B-9397-08002B2CF9AE}" pid="7" name="EIMCountry">
    <vt:lpwstr>6;#Brazil|d641e264-f157-42ed-8f97-e17c8f6cf33a</vt:lpwstr>
  </property>
  <property fmtid="{D5CDD505-2E9C-101B-9397-08002B2CF9AE}" pid="8" name="EIMSource">
    <vt:lpwstr>3;#Office 365|23cc2eaf-b88f-49bf-9aee-2309aadb8846</vt:lpwstr>
  </property>
  <property fmtid="{D5CDD505-2E9C-101B-9397-08002B2CF9AE}" pid="9" name="EIMStatus">
    <vt:lpwstr>2;#Draft|af4d3abd-d88d-48b7-8fea-db9baac9496f</vt:lpwstr>
  </property>
  <property fmtid="{D5CDD505-2E9C-101B-9397-08002B2CF9AE}" pid="10" name="EIMSecurityClassification">
    <vt:lpwstr>4;#Internal|3361fef0-33ac-457d-8a1d-df19735ffcb1</vt:lpwstr>
  </property>
  <property fmtid="{D5CDD505-2E9C-101B-9397-08002B2CF9AE}" pid="11" name="EIMBusinessArea">
    <vt:lpwstr>5;#EXPLORATION ＆ PRODUCTION INTERNATIONAL (EPI)|76777ab9-3b5c-45dc-b1bf-cae5e8c2a234</vt:lpwstr>
  </property>
  <property fmtid="{D5CDD505-2E9C-101B-9397-08002B2CF9AE}" pid="12" name="EIMProcess">
    <vt:lpwstr>9;#Technical integrity management|ce6b1ab7-1aca-4450-a1c0-cb6e89a524cc</vt:lpwstr>
  </property>
  <property fmtid="{D5CDD505-2E9C-101B-9397-08002B2CF9AE}" pid="13" name="MediaServiceImageTags">
    <vt:lpwstr/>
  </property>
</Properties>
</file>