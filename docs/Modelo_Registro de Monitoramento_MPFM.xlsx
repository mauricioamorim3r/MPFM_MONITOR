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13_ncr:1_{F9B434B2-5681-49C6-83D5-B18BB8D25827}" xr6:coauthVersionLast="47" xr6:coauthVersionMax="47" xr10:uidLastSave="{00000000-0000-0000-0000-000000000000}"/>
  <bookViews>
    <workbookView xWindow="4770" yWindow="975" windowWidth="21600" windowHeight="14505" tabRatio="810" firstSheet="1" activeTab="2" xr2:uid="{00000000-000D-0000-FFFF-FFFF00000000}"/>
  </bookViews>
  <sheets>
    <sheet name="Monitoramento_Diario_Massa" sheetId="1" r:id="rId1"/>
    <sheet name="Monitoramento_Diario_Volumetric" sheetId="4" r:id="rId2"/>
    <sheet name="Monitoramento_Diario_Eventos" sheetId="6" r:id="rId3"/>
    <sheet name="Sheet1" sheetId="5" state="hidden" r:id="rId4"/>
    <sheet name="Limites_Procedimentos" sheetId="2" state="hidden" r:id="rId5"/>
    <sheet name="Resumo_Status" sheetId="3" state="hidden" r:id="rId6"/>
    <sheet name="Resumo Semanal" sheetId="8" r:id="rId7"/>
    <sheet name="Resumo Mensal" sheetId="7" r:id="rId8"/>
    <sheet name="Conferência Diária" sheetId="9" r:id="rId9"/>
  </sheets>
  <definedNames>
    <definedName name="_xlnm.Print_Area" localSheetId="2">Monitoramento_Diario_Eventos!$A$1:$AV$27</definedName>
    <definedName name="_xlnm.Print_Area" localSheetId="0">Monitoramento_Diario_Massa!$A$1:$BE$27</definedName>
    <definedName name="_xlnm.Print_Area" localSheetId="1">Monitoramento_Diario_Volumetric!$A$1:$Z$30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" i="8" l="1"/>
  <c r="B4" i="8" s="1"/>
  <c r="B3" i="8"/>
  <c r="A4" i="7"/>
  <c r="A5" i="7" s="1"/>
  <c r="A6" i="7" s="1"/>
  <c r="A7" i="7" s="1"/>
  <c r="B3" i="7"/>
  <c r="A5" i="8" l="1"/>
  <c r="B6" i="7"/>
  <c r="B5" i="8"/>
  <c r="B7" i="7"/>
  <c r="B5" i="7"/>
  <c r="B4" i="7"/>
  <c r="AE5" i="6" l="1"/>
  <c r="AD5" i="6"/>
  <c r="BE5" i="1"/>
  <c r="BD5" i="1"/>
  <c r="B6" i="3" l="1"/>
  <c r="C6" i="3" s="1"/>
  <c r="B5" i="3"/>
  <c r="D5" i="3" s="1"/>
  <c r="B4" i="3"/>
  <c r="C4" i="3" s="1"/>
  <c r="D6" i="3" l="1"/>
  <c r="C5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MAUAM</author>
  </authors>
  <commentList>
    <comment ref="AZ4" authorId="0" shapeId="0" xr:uid="{A1479E70-631C-4E37-B346-8C37C9710C19}">
      <text>
        <r>
          <rPr>
            <b/>
            <sz val="9"/>
            <color indexed="81"/>
            <rFont val="Tahoma"/>
            <family val="2"/>
          </rPr>
          <t>Usar em Comissionamento</t>
        </r>
      </text>
    </comment>
    <comment ref="BA4" authorId="0" shapeId="0" xr:uid="{9ABF8A10-A926-4B9C-9387-9E33C0072B25}">
      <text>
        <r>
          <rPr>
            <b/>
            <sz val="9"/>
            <color indexed="81"/>
            <rFont val="Tahoma"/>
            <family val="2"/>
          </rPr>
          <t>Usar em Comissionamento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tc={6AC1BA89-CC05-4EA8-BA1B-D8F1BC8F0730}</author>
    <author>tc={C4C2D925-0707-4B51-B9F6-69B155FA59B4}</author>
    <author>tc={B5DB143D-56CA-461F-AC3A-6996B8CD971F}</author>
    <author>tc={82A1C51B-4124-4BAE-ADE6-F6E0C0B64FED}</author>
    <author>tc={6E799A63-DCBB-4080-902D-531B24814D7C}</author>
    <author>tc={D43C32F4-9B1F-4EA4-81D7-AB6B78E40FE3}</author>
    <author>tc={56E273B1-49CA-4808-8777-E935FC26CF80}</author>
    <author>tc={6C88AE04-8A25-4B32-9335-DD4B216955A8}</author>
    <author>tc={B276B1ED-F890-42E2-BF39-5D0E308AB0E3}</author>
    <author>tc={B416B32D-425F-4E61-81CE-F5B3F2B5AF09}</author>
    <author>tc={2400CEA8-D692-4F7D-8473-C4A1393FB912}</author>
  </authors>
  <commentList>
    <comment ref="A22" authorId="0" shapeId="0" xr:uid="{6AC1BA89-CC05-4EA8-BA1B-D8F1BC8F07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Faixa definida: 0-1035 barg (faixa calibrada)</t>
      </text>
    </comment>
    <comment ref="B22" authorId="1" shapeId="0" xr:uid="{C4C2D925-0707-4B51-B9F6-69B155FA59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Comparar apenas com sensores redundantes</t>
      </text>
    </comment>
    <comment ref="A23" authorId="2" shapeId="0" xr:uid="{B5DB143D-56CA-461F-AC3A-6996B8CD97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-30°C -  121°C
(faixa calibrada)</t>
      </text>
    </comment>
    <comment ref="B23" authorId="3" shapeId="0" xr:uid="{82A1C51B-4124-4BAE-ADE6-F6E0C0B64F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Comparações internas</t>
      </text>
    </comment>
    <comment ref="A27" authorId="4" shapeId="0" xr:uid="{6E799A63-DCBB-4080-902D-531B24814D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100 mbar - 5000 mbar </t>
      </text>
    </comment>
    <comment ref="A28" authorId="5" shapeId="0" xr:uid="{D43C32F4-9B1F-4EA4-81D7-AB6B78E40F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30 m/s</t>
      </text>
    </comment>
    <comment ref="A37" authorId="6" shapeId="0" xr:uid="{56E273B1-49CA-4808-8777-E935FC26CF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100 mbar – 5000 Mbar</t>
      </text>
    </comment>
    <comment ref="A38" authorId="7" shapeId="0" xr:uid="{6C88AE04-8A25-4B32-9335-DD4B216955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30 – 60 °C</t>
      </text>
    </comment>
    <comment ref="A42" authorId="8" shapeId="0" xr:uid="{B276B1ED-F890-42E2-BF39-5D0E308AB0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 mbar - 5000 mbar</t>
      </text>
    </comment>
    <comment ref="A43" authorId="9" shapeId="0" xr:uid="{B416B32D-425F-4E61-81CE-F5B3F2B5AF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30 m/s</t>
      </text>
    </comment>
    <comment ref="A49" authorId="10" shapeId="0" xr:uid="{2400CEA8-D692-4F7D-8473-C4A1393FB9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dos MPMFs e da fonte gama</t>
      </text>
    </comment>
  </commentList>
</comments>
</file>

<file path=xl/sharedStrings.xml><?xml version="1.0" encoding="utf-8"?>
<sst xmlns="http://schemas.openxmlformats.org/spreadsheetml/2006/main" count="676" uniqueCount="419">
  <si>
    <t>Aplicável no Comissionamento de MPFMs</t>
  </si>
  <si>
    <t>Monitoramento Diário das Variáveis Críticas</t>
  </si>
  <si>
    <t>Data</t>
  </si>
  <si>
    <t>FISCAL</t>
  </si>
  <si>
    <t>Fiscal Meter
 (GSV Sm³)</t>
  </si>
  <si>
    <t>Fator Alocação</t>
  </si>
  <si>
    <t>TOPSIDE vs SUBSEA</t>
  </si>
  <si>
    <t>DIAS CONSECUTIVOS</t>
  </si>
  <si>
    <t>GATILHO CALIBRAÇÃO</t>
  </si>
  <si>
    <t>REGISTRO DE AÇÕES (quando &gt; 10 dias)</t>
  </si>
  <si>
    <t>HC [t]</t>
  </si>
  <si>
    <t>Oil [t]</t>
  </si>
  <si>
    <t xml:space="preserve">Oil [m³] </t>
  </si>
  <si>
    <t>20FT2303</t>
  </si>
  <si>
    <t>20FT2353</t>
  </si>
  <si>
    <t>20FT2403</t>
  </si>
  <si>
    <t>Ambos OK?</t>
  </si>
  <si>
    <t>Ação
Requerida</t>
  </si>
  <si>
    <t>Sub vs TS</t>
  </si>
  <si>
    <t>Top vs TS</t>
  </si>
  <si>
    <t>Top vs Sub</t>
  </si>
  <si>
    <t>Máx Dias
Consec.</t>
  </si>
  <si>
    <t>Calibrar
Topside?</t>
  </si>
  <si>
    <t>Calibrar
Subsea?</t>
  </si>
  <si>
    <t>Data Início Desvio</t>
  </si>
  <si>
    <t>Comparativo Afetado</t>
  </si>
  <si>
    <t>Etapa Atual</t>
  </si>
  <si>
    <t>Data Calibração</t>
  </si>
  <si>
    <t>Medidor Calibrado</t>
  </si>
  <si>
    <t>Novo K-Factor</t>
  </si>
  <si>
    <t>PVT Atualizado?</t>
  </si>
  <si>
    <t>Resultado</t>
  </si>
  <si>
    <t>Próxima Ação</t>
  </si>
  <si>
    <t>Observações</t>
  </si>
  <si>
    <t>2601.18FT1506.Bank05.Oil.Stream03.MeterA.PD1.UncorrMass</t>
  </si>
  <si>
    <t>2601.18FT1506.Bank05.Oil.Stream03.MeterA.PD1.CorrMass</t>
  </si>
  <si>
    <t>2601.18FT1506.Bank05.Gas.Stream03.MeterA.PD1.UncorrMass</t>
  </si>
  <si>
    <t>2601.18FT1506.Bank05.Gas.Stream03.MeterA.PD1.CorrMass</t>
  </si>
  <si>
    <t>-</t>
  </si>
  <si>
    <t>2601.13FT0367.Bank03.Oil.Stream01.MeterA.PD1.UncorrMass</t>
  </si>
  <si>
    <t>2601.13FT0367.Bank03.Oil.Stream01.MeterA.PD1.CorrMass</t>
  </si>
  <si>
    <t>2601.13FT0367.Bank03.Gas.Stream01.MeterA.PD1.UncorrMass</t>
  </si>
  <si>
    <t>2601.13FT0367.Bank03.Gas.Stream01.MeterA.PD1.CorrMass</t>
  </si>
  <si>
    <t>manual</t>
  </si>
  <si>
    <t>2601.20FQI0247PDGV.PreviousDayGvTotal</t>
  </si>
  <si>
    <t>2601.20FQI0244PDM.PreviousDayMassTotal</t>
  </si>
  <si>
    <t>2601.20FQI0251PDM.PreviousDayMassTotal</t>
  </si>
  <si>
    <t>2601.20FT2303GSV.Gsvfr</t>
  </si>
  <si>
    <t>2601.20FT2353GSV.Gsvfr</t>
  </si>
  <si>
    <t>2601.20FT2403GSV.Gsvfr</t>
  </si>
  <si>
    <t>2601.18FT1506.Bank05.Stream03.MeterA.Oil.PVT.CorrRefVolumeFlowRate2-(2601.20FT2303GSV.Gsvfr + 2601.20FT2353GSV.Gsvfr + 2601.20FT2403GSV.Gsvfr)+2601.20FT0484.DACA_PV</t>
  </si>
  <si>
    <t>2601.18FT1506.Bank05.Gas.Stream03.MeterA.PD1.UncorrVolume</t>
  </si>
  <si>
    <t>2601.18FT1506.Bank05.Water.Stream03.MeterA.PD1.UncorrVolume</t>
  </si>
  <si>
    <t xml:space="preserve">45FT0360 </t>
  </si>
  <si>
    <t>Piloto</t>
  </si>
  <si>
    <t>Hour</t>
  </si>
  <si>
    <t>Pressure</t>
  </si>
  <si>
    <t>Temperature</t>
  </si>
  <si>
    <t>SD</t>
  </si>
  <si>
    <t>DT</t>
  </si>
  <si>
    <t>Composição</t>
  </si>
  <si>
    <t>Gr,</t>
  </si>
  <si>
    <t>St,</t>
  </si>
  <si>
    <t>St</t>
  </si>
  <si>
    <t>Mass</t>
  </si>
  <si>
    <t>Energy</t>
  </si>
  <si>
    <t>Diff,</t>
  </si>
  <si>
    <t>Flowtime</t>
  </si>
  <si>
    <t>Descrição</t>
  </si>
  <si>
    <t>kPa(a)</t>
  </si>
  <si>
    <t>°C</t>
  </si>
  <si>
    <t>kg/sm3</t>
  </si>
  <si>
    <t>kg/m3</t>
  </si>
  <si>
    <t>Base Density</t>
  </si>
  <si>
    <t>Line Density</t>
  </si>
  <si>
    <t>m3</t>
  </si>
  <si>
    <t>Kg</t>
  </si>
  <si>
    <t>GJ</t>
  </si>
  <si>
    <t>kPa</t>
  </si>
  <si>
    <t>min</t>
  </si>
  <si>
    <t>N2</t>
  </si>
  <si>
    <t>CO2</t>
  </si>
  <si>
    <t>H2S</t>
  </si>
  <si>
    <t>Pipe Diameter</t>
  </si>
  <si>
    <t>mm</t>
  </si>
  <si>
    <t>C1</t>
  </si>
  <si>
    <t>Pipe Coeficient</t>
  </si>
  <si>
    <t>mm/mmºC</t>
  </si>
  <si>
    <t>C2</t>
  </si>
  <si>
    <t>Orifice Temp</t>
  </si>
  <si>
    <t>ºC</t>
  </si>
  <si>
    <t>C3</t>
  </si>
  <si>
    <t>iC4</t>
  </si>
  <si>
    <t>Orifice Diameter</t>
  </si>
  <si>
    <t>nC4</t>
  </si>
  <si>
    <t>Orifice Coefitient</t>
  </si>
  <si>
    <t>iC5</t>
  </si>
  <si>
    <t>nC5</t>
  </si>
  <si>
    <t>C6</t>
  </si>
  <si>
    <t>Dinamic Viscosity</t>
  </si>
  <si>
    <t>Cp</t>
  </si>
  <si>
    <t>C7</t>
  </si>
  <si>
    <t>Diferential</t>
  </si>
  <si>
    <t>mbar</t>
  </si>
  <si>
    <t>C8</t>
  </si>
  <si>
    <t>downstream temp</t>
  </si>
  <si>
    <t>C9</t>
  </si>
  <si>
    <t>Upstream Pressure</t>
  </si>
  <si>
    <t>bar</t>
  </si>
  <si>
    <t>C10+</t>
  </si>
  <si>
    <t>Upstream Density</t>
  </si>
  <si>
    <t>Standard Density</t>
  </si>
  <si>
    <t>kg/Sm3</t>
  </si>
  <si>
    <t>Isoentropic Exponent</t>
  </si>
  <si>
    <t>Tem que adicionar na AGA 8</t>
  </si>
  <si>
    <t>Gas [m³]</t>
  </si>
  <si>
    <t>HC [m³]</t>
  </si>
  <si>
    <t>2601.18FT1506.Bank05.Oil.Stream03.MeterA.PD1.Uncorrvolume</t>
  </si>
  <si>
    <t>2601.13FT0367.Bank03.Oil.Stream01.MeterA.PD1.UncorrVolume</t>
  </si>
  <si>
    <t>2601.13FT0367.Bank03.Gas.Stream01.MeterA.PD1.UncorrVolume</t>
  </si>
  <si>
    <t>2601.13FT0367.Bank03.Water.Stream01.MeterA.PD1.UncorrVolume</t>
  </si>
  <si>
    <t>2601.20FQI0244PDGV.PreviousDayGvTotal</t>
  </si>
  <si>
    <t>Comparativo</t>
  </si>
  <si>
    <t>Subsea vs Test Sep</t>
  </si>
  <si>
    <t>Topside vs Test Sep</t>
  </si>
  <si>
    <t>Topside vs Subsea</t>
  </si>
  <si>
    <t>PROCEDIMENTO DE VERIFICAÇÃO (Anexo 1)</t>
  </si>
  <si>
    <t>ETAPA 1 - Verificação Topside:</t>
  </si>
  <si>
    <t xml:space="preserve">  1. Rotear riser afetado para separador de teste</t>
  </si>
  <si>
    <t xml:space="preserve">  2. Executar calibração MPFM Topside vs Separador</t>
  </si>
  <si>
    <t xml:space="preserve">  3. Avaliar necessidade de atualização PVT</t>
  </si>
  <si>
    <t xml:space="preserve">  4. Implementar novos k-factors se necessário</t>
  </si>
  <si>
    <t xml:space="preserve">  5. Avaliar desempenho pós-calibração</t>
  </si>
  <si>
    <t>Se desvio corrigir → Topside era causa, problema resolvido</t>
  </si>
  <si>
    <t>Se desvio persistir → Etapa 2</t>
  </si>
  <si>
    <t>ETAPA 2 - Verificação Subsea:</t>
  </si>
  <si>
    <t xml:space="preserve">  1. Rotear poço individual para separador de teste</t>
  </si>
  <si>
    <t xml:space="preserve">  2. Executar calibração MPFM Subsea vs Separador</t>
  </si>
  <si>
    <t xml:space="preserve">  3. Avaliar necessidade de atualização PVT e coleta de amostras</t>
  </si>
  <si>
    <t xml:space="preserve">  5. Repetir para segundo medidor subsea se necessário</t>
  </si>
  <si>
    <t>Máximo 10 tentativas de calibração por medidor.</t>
  </si>
  <si>
    <t>Se persistir → Notificar ANP, ativar Plano de Ação (Anexo 5)</t>
  </si>
  <si>
    <t>CAMPOS DE REGISTRO DE AÇÕES</t>
  </si>
  <si>
    <t>Data em que o desvio ultrapassou o limite pela primeira vez</t>
  </si>
  <si>
    <t>Sub vs TS / Top vs TS / Top vs Sub</t>
  </si>
  <si>
    <t>Etapa 1 (Topside) / Etapa 2 (Subsea) / Plano de Ação</t>
  </si>
  <si>
    <t>Data em que a calibração foi executada</t>
  </si>
  <si>
    <t>Tag do medidor calibrado (ex: 13FT0367, 18FT1506)</t>
  </si>
  <si>
    <t>Valor do novo fator de correção aplicado</t>
  </si>
  <si>
    <t>Sim / Não</t>
  </si>
  <si>
    <t>Normalizado / Persistente / Em avaliação</t>
  </si>
  <si>
    <t>Descrição da próxima ação necessária</t>
  </si>
  <si>
    <t>Notas adicionais</t>
  </si>
  <si>
    <t>RESUMO DE STATUS DO MONITORAMENTO</t>
  </si>
  <si>
    <t>Dias Consecutivos Atual</t>
  </si>
  <si>
    <t>Status</t>
  </si>
  <si>
    <t>Ação Requerida</t>
  </si>
  <si>
    <t>Data Fim</t>
  </si>
  <si>
    <t xml:space="preserve">             Registro de Monitoramento das Variáveis do Sistema de Medição de Fluido Multifásico</t>
  </si>
  <si>
    <t>Data final</t>
  </si>
  <si>
    <t>Líquido [m³]</t>
  </si>
  <si>
    <t>Volume Total [m³]</t>
  </si>
  <si>
    <t>Água [m³]</t>
  </si>
  <si>
    <t>Óleo [m³]</t>
  </si>
  <si>
    <t xml:space="preserve">Óleo [m³] </t>
  </si>
  <si>
    <t>Óleo [t]</t>
  </si>
  <si>
    <t>Gas [t]</t>
  </si>
  <si>
    <t>Água [t]</t>
  </si>
  <si>
    <t>Hidrocarboneto [t]</t>
  </si>
  <si>
    <t>Massa Total [t]</t>
  </si>
  <si>
    <t>Balanço de Hidrocarboneto  %</t>
  </si>
  <si>
    <t>Balanço Total%</t>
  </si>
  <si>
    <t>Status Balanço Total</t>
  </si>
  <si>
    <t>Status Balanço de Hidrocarboneto</t>
  </si>
  <si>
    <t>SUBSEA vs SEPARADOR DE TESTE</t>
  </si>
  <si>
    <t>TOPSIDE vs SEPARADOR DE TESTE</t>
  </si>
  <si>
    <t xml:space="preserve">Valores de Medição </t>
  </si>
  <si>
    <t>Variáveis Volumétricas</t>
  </si>
  <si>
    <t>MEDIDOR SUBSEA (TAG - XXX)</t>
  </si>
  <si>
    <t>MEDIDOR TOPSIDE (TAG - XXX)</t>
  </si>
  <si>
    <t>SEPARADOR DE TESTE (TAG - XXX)</t>
  </si>
  <si>
    <t xml:space="preserve">             Registro de Monitoramento das Variáveis do Sistema de Medição de Fluido Multifásico </t>
  </si>
  <si>
    <t>Limite
Hidrocarboneto %</t>
  </si>
  <si>
    <t>Limite
Total %</t>
  </si>
  <si>
    <t>Balanço Total %</t>
  </si>
  <si>
    <t>Categoria</t>
  </si>
  <si>
    <t>DIAS CONSECUTIVOS - DESENQUADRAMENTO</t>
  </si>
  <si>
    <t>GATILHO DE EVENTO</t>
  </si>
  <si>
    <t>GATILHO DE CALIBRAÇÃO</t>
  </si>
  <si>
    <t>Ocorreu algum evento neste dia?</t>
  </si>
  <si>
    <t>RESUMO_MENSAL — Segregado por mês (base: DAILY_CALC)</t>
  </si>
  <si>
    <t>Mês (início)</t>
  </si>
  <si>
    <t>Mês (fim)</t>
  </si>
  <si>
    <t>Dias com dados</t>
  </si>
  <si>
    <t>Média |Desvio HC|</t>
  </si>
  <si>
    <t>Máx |Desvio HC|</t>
  </si>
  <si>
    <t>Dias HC alerta</t>
  </si>
  <si>
    <t>Média |Desvio Total|</t>
  </si>
  <si>
    <t>Máx |Desvio Total|</t>
  </si>
  <si>
    <t>Dias Total alerta</t>
  </si>
  <si>
    <t>k_o médio</t>
  </si>
  <si>
    <t>k_g médio</t>
  </si>
  <si>
    <t>k_w médio</t>
  </si>
  <si>
    <t>RESUMO_SEMANAL — Base semanal (atende 8.5.1: cálculo em base semanal)</t>
  </si>
  <si>
    <t>Semana (início)</t>
  </si>
  <si>
    <t>Semana (fim)</t>
  </si>
  <si>
    <t>CHECKLIST — Relatório de Verificação de Desempenho (RTM ANP 44/2015 item 8.5 e 8.5.1)</t>
  </si>
  <si>
    <t>Item RTM 8.5</t>
  </si>
  <si>
    <t>Requisito (texto)</t>
  </si>
  <si>
    <t>Atendido? (Sim/Não)</t>
  </si>
  <si>
    <t>a</t>
  </si>
  <si>
    <t>Identificação do relatório</t>
  </si>
  <si>
    <t>b</t>
  </si>
  <si>
    <t>Data de emissão do relatório</t>
  </si>
  <si>
    <t>c</t>
  </si>
  <si>
    <t>Identificação do modelo e número de série do medidor/sistema verificado</t>
  </si>
  <si>
    <t>d</t>
  </si>
  <si>
    <t>Período de realização da verificação de desempenho</t>
  </si>
  <si>
    <t>e</t>
  </si>
  <si>
    <t>Condições de contorno: GVF, salinidade, BSW, vazão mássica/volumétrica, pressão (min/máx), temperatura (min/máx)</t>
  </si>
  <si>
    <t>f</t>
  </si>
  <si>
    <t>Limites de massa específica e valor da viscosidade dinâmica dos fluidos</t>
  </si>
  <si>
    <t>g</t>
  </si>
  <si>
    <t>Limites máx/mín dos desvios em relação à referência autorizada (massa/volume: gases e líquidos; petróleo, gás natural e água; fatores de reconciliação)</t>
  </si>
  <si>
    <t>h</t>
  </si>
  <si>
    <t>Dados PVT utilizados na verificação de desempenho</t>
  </si>
  <si>
    <t>i</t>
  </si>
  <si>
    <t>Versão do software utilizado no medidor/sistema multifásico</t>
  </si>
  <si>
    <t>j</t>
  </si>
  <si>
    <t>Histórico do acumulado e média (por dia) dos últimos 180 dias, segregados por mês</t>
  </si>
  <si>
    <t>k</t>
  </si>
  <si>
    <t>Resultados e conclusões da verificação de desempenho</t>
  </si>
  <si>
    <t>l</t>
  </si>
  <si>
    <t>Informações sobre atividades do plano de ação executadas durante o período</t>
  </si>
  <si>
    <t>m</t>
  </si>
  <si>
    <t>Informações sobre atividades do plano de contingência executadas durante o período</t>
  </si>
  <si>
    <t>n</t>
  </si>
  <si>
    <t>Observações e informações complementares</t>
  </si>
  <si>
    <t>8.5.1</t>
  </si>
  <si>
    <t>Fator de reconciliação para gases e líquidos, e petróleo, gás natural e água calculado no mínimo em base diária, semanal e mensal</t>
  </si>
  <si>
    <t>o</t>
  </si>
  <si>
    <t>(texto do item 'o' não está legível na cópia do RTM disponível; completar conforme versão oficial)</t>
  </si>
  <si>
    <t>CategoriaEvento</t>
  </si>
  <si>
    <t>TipoReferencia</t>
  </si>
  <si>
    <t>Coleta de amostra</t>
  </si>
  <si>
    <t>Operação</t>
  </si>
  <si>
    <t>Aberto</t>
  </si>
  <si>
    <t>Separador de teste</t>
  </si>
  <si>
    <t>Medição</t>
  </si>
  <si>
    <t>Topside (comparação)</t>
  </si>
  <si>
    <t>Verificação desempenho</t>
  </si>
  <si>
    <t>Manutenção/Metrologia</t>
  </si>
  <si>
    <t>Concluído</t>
  </si>
  <si>
    <t>Subsea (referência)</t>
  </si>
  <si>
    <t>Calibração/K</t>
  </si>
  <si>
    <t>Fornecedor/Fabricante</t>
  </si>
  <si>
    <t>Outro</t>
  </si>
  <si>
    <t>Plano de Ação</t>
  </si>
  <si>
    <t>Regulatório/ANP</t>
  </si>
  <si>
    <t>Cancelado</t>
  </si>
  <si>
    <t>LISTAS (validações para preenchimento)</t>
  </si>
  <si>
    <t>Sistema</t>
  </si>
  <si>
    <t>Tipo_Evento</t>
  </si>
  <si>
    <t>Tipo_Registro_ANP</t>
  </si>
  <si>
    <t>Tipo_Acao</t>
  </si>
  <si>
    <t>Severidade</t>
  </si>
  <si>
    <t>SimNao</t>
  </si>
  <si>
    <t>TOPSIDE</t>
  </si>
  <si>
    <t>Detecção</t>
  </si>
  <si>
    <t>Relatório Parcial</t>
  </si>
  <si>
    <t>Corretiva</t>
  </si>
  <si>
    <t>Baixa</t>
  </si>
  <si>
    <t>Sim</t>
  </si>
  <si>
    <t>Em investigação</t>
  </si>
  <si>
    <t>SUBSEA</t>
  </si>
  <si>
    <t>Alarme</t>
  </si>
  <si>
    <t>Relatório Final</t>
  </si>
  <si>
    <t>Preventiva</t>
  </si>
  <si>
    <t>Média</t>
  </si>
  <si>
    <t>Não</t>
  </si>
  <si>
    <t>Plano de ação em execução</t>
  </si>
  <si>
    <t>Relatório Parcial (10 dias)</t>
  </si>
  <si>
    <t>Investigação</t>
  </si>
  <si>
    <t>Alta</t>
  </si>
  <si>
    <t>Parcial</t>
  </si>
  <si>
    <t>Em contingência</t>
  </si>
  <si>
    <t>Solicitação de Prorrogação</t>
  </si>
  <si>
    <t>Teste/Validação</t>
  </si>
  <si>
    <t>Crítica</t>
  </si>
  <si>
    <t>Aguardando fabricante</t>
  </si>
  <si>
    <t>PVT</t>
  </si>
  <si>
    <t>Documental/Envio</t>
  </si>
  <si>
    <t>Restaurado</t>
  </si>
  <si>
    <t>Contingência</t>
  </si>
  <si>
    <t>Manutenção</t>
  </si>
  <si>
    <t>Envio Fabricante</t>
  </si>
  <si>
    <t>Retorno</t>
  </si>
  <si>
    <t>Envio ANP</t>
  </si>
  <si>
    <t>PARAMETROS_RTM44 (inputs controlados)</t>
  </si>
  <si>
    <t>Chave</t>
  </si>
  <si>
    <t>Valor</t>
  </si>
  <si>
    <t>Unidade</t>
  </si>
  <si>
    <t>Nota</t>
  </si>
  <si>
    <t>Prazo máx. relatório final de investigação (indispon. total/parcial)</t>
  </si>
  <si>
    <t>INV_FINAL_DAYS</t>
  </si>
  <si>
    <t>dias</t>
  </si>
  <si>
    <t>RTM 44 item 10.3</t>
  </si>
  <si>
    <t>Se envio ao fabricante: prazo relatório parcial</t>
  </si>
  <si>
    <t>FAB_PARCIAL_DAYS</t>
  </si>
  <si>
    <t>RTM 44 item 10.3.1</t>
  </si>
  <si>
    <t>Se envio ao fabricante: prazo relatório final após laudo do fabricante</t>
  </si>
  <si>
    <t>FAB_FINAL_AFTER_DAYS</t>
  </si>
  <si>
    <t>RTM 44 item 10.3.2</t>
  </si>
  <si>
    <t>Relatórios parciais do Plano de Ação</t>
  </si>
  <si>
    <t>PA_PARCIAL_FREQ_DAYS</t>
  </si>
  <si>
    <t>RTM 44 item 10.4</t>
  </si>
  <si>
    <t>Retorno/substituição TOPSIDE após relatório final</t>
  </si>
  <si>
    <t>RET_TOPSIDE_DAYS</t>
  </si>
  <si>
    <t>RTM 44 item 10.7</t>
  </si>
  <si>
    <t>Retorno/substituição SUBSEA após relatório final</t>
  </si>
  <si>
    <t>RET_SUBSEA_DAYS</t>
  </si>
  <si>
    <t>Janela para solicitar prorrogação (SUBSEA) após relatório final</t>
  </si>
  <si>
    <t>EXT_REQUEST_WITHIN_DAYS</t>
  </si>
  <si>
    <t>RTM 44 item 10.7.3</t>
  </si>
  <si>
    <t>Periodicidade RAD durante contingência</t>
  </si>
  <si>
    <t>RAD_CONTINGENCIA_DAYS</t>
  </si>
  <si>
    <t>RTM 44 item 7.3.2 (confirmar versão oficial)</t>
  </si>
  <si>
    <t>Limite alerta desvio HC (interface PVD)</t>
  </si>
  <si>
    <t>HC_LIMIT_PCT</t>
  </si>
  <si>
    <t>%</t>
  </si>
  <si>
    <t>Anexo 1 (PVD)</t>
  </si>
  <si>
    <t>Limite alerta desvio Total (interface PVD)</t>
  </si>
  <si>
    <t>TOTAL_LIMIT_PCT</t>
  </si>
  <si>
    <t>Indisponibilidade</t>
  </si>
  <si>
    <t>Total</t>
  </si>
  <si>
    <t>Status Operacional - TOPSIDE</t>
  </si>
  <si>
    <t>Status Operacional - SUBSEA</t>
  </si>
  <si>
    <t>Status Operacional - SEPARADOR TESTE</t>
  </si>
  <si>
    <t>Enviado para ANP</t>
  </si>
  <si>
    <t>SEPARADOR DE TESTE</t>
  </si>
  <si>
    <t>Relatório de Avaliação Desempenho (30 dias)</t>
  </si>
  <si>
    <t>Relatório de Avaliação Desempenho (180 dias)</t>
  </si>
  <si>
    <t>Temperatura [°C]</t>
  </si>
  <si>
    <t>MEDIDOR SUBSEA</t>
  </si>
  <si>
    <t xml:space="preserve">MEDIDOR TOPSIDE </t>
  </si>
  <si>
    <t xml:space="preserve">SEPARADOR DE TESTE </t>
  </si>
  <si>
    <t>Densidade [kg/m³]</t>
  </si>
  <si>
    <t>Pressão [barg]</t>
  </si>
  <si>
    <t>Modo de Medição MPFM</t>
  </si>
  <si>
    <t>Modo Medição MPFM</t>
  </si>
  <si>
    <t>Dual Mode</t>
  </si>
  <si>
    <t>Multiphase</t>
  </si>
  <si>
    <t>Wet Gas</t>
  </si>
  <si>
    <t>Single</t>
  </si>
  <si>
    <t>Tipo Evento</t>
  </si>
  <si>
    <t>Status do Evento</t>
  </si>
  <si>
    <t>Tipo de Registro ANP</t>
  </si>
  <si>
    <t>Não aplicável</t>
  </si>
  <si>
    <t>Tipo de Ação</t>
  </si>
  <si>
    <t>Nova Calbração?</t>
  </si>
  <si>
    <t>Novo Resultado PVT?</t>
  </si>
  <si>
    <t>Novo K-Factor?</t>
  </si>
  <si>
    <t>K-factor foi Implementado?</t>
  </si>
  <si>
    <t>PVT foi Atualizada?</t>
  </si>
  <si>
    <t>Responsável</t>
  </si>
  <si>
    <t>Resultado Final do Evento</t>
  </si>
  <si>
    <t>Redundância dos sensores P, T e ΔP?</t>
  </si>
  <si>
    <t xml:space="preserve">Integridade e Comunicação </t>
  </si>
  <si>
    <t>Perda de Sinal</t>
  </si>
  <si>
    <t>Sem redundância</t>
  </si>
  <si>
    <t>Integridade do Equipamento/Sensor</t>
  </si>
  <si>
    <t>Saude do hardware</t>
  </si>
  <si>
    <t>Registro de Monitoramento das Variáveis do Sistema de Medição de Fluido Multifásico</t>
  </si>
  <si>
    <t/>
  </si>
  <si>
    <t>Tempo de Operação MPFM</t>
  </si>
  <si>
    <t>Tempo de Operação Separador</t>
  </si>
  <si>
    <t>Variável</t>
  </si>
  <si>
    <t>Valor Médio Diário</t>
  </si>
  <si>
    <t>Status de Alerta / Ação</t>
  </si>
  <si>
    <t>Pressão de Operação In-Situ</t>
  </si>
  <si>
    <t>[ ] Alarme / [ ] OK</t>
  </si>
  <si>
    <t>Temperatura de Operação In-Situ</t>
  </si>
  <si>
    <t>Fração Volumétrica de Gás (GVF)</t>
  </si>
  <si>
    <t>Fração de Água (BSW)</t>
  </si>
  <si>
    <t>Status da Salinidade da Água</t>
  </si>
  <si>
    <t>[ ] Medida pelo probe / [ ] Input Manual (BSW &gt; 40%)</t>
  </si>
  <si>
    <t>PVT Warning / Process Data Warning</t>
  </si>
  <si>
    <t>[ ] Warning PVT (Exige Ação) / [ ] Warning Dados Processo</t>
  </si>
  <si>
    <t>Versão/ID do Conjunto de Dados PVT Ativo</t>
  </si>
  <si>
    <t>[ ] Conforme Modelo Específico do Poço</t>
  </si>
  <si>
    <t>Verificação de Redundância de Sensores (P, T, dP)</t>
  </si>
  <si>
    <t>[ ] Primário OK / [ ] Secundário Ativo (Hot-Spare) / [ ] Falha Total</t>
  </si>
  <si>
    <t>Status do Fixed GOR Setting</t>
  </si>
  <si>
    <t>[ ] OFF (Dual Mode) / [ ] ON (Fixed GOR = 0, se acima do ponto de bolha)</t>
  </si>
  <si>
    <t>Comunicação FCM (A vs B)</t>
  </si>
  <si>
    <t>[ ] FCM-A Ativo / [ ] FCM-B Ativo (Redundância Eletrônica)</t>
  </si>
  <si>
    <t>Pressão de Operação (Riser)</t>
  </si>
  <si>
    <t>Temperatura de Operação (Riser)</t>
  </si>
  <si>
    <t>Composição do Fluido (LivePVT)</t>
  </si>
  <si>
    <t>[ ] LivePVT OK (Ponderação pela Vazão)</t>
  </si>
  <si>
    <t>Status da Correção do Gás Lift</t>
  </si>
  <si>
    <t>[ ] Correção Aplicada (Subtração da Vazão Injetada) / [ ] Não Aplicável</t>
  </si>
  <si>
    <t>Atualização da Composição LivePVT</t>
  </si>
  <si>
    <t>[ ] OK (Frequência de approx 1 vez/minuto)</t>
  </si>
  <si>
    <t>Verificação de Integridade Física</t>
  </si>
  <si>
    <t>[ ] Calibração Fonte Gama (Empty Pipe) OK</t>
  </si>
  <si>
    <t>Redundância de Sensores (P, T, dP)</t>
  </si>
  <si>
    <t>[ ] Sensores Primários OK / [ ] Sensores Externos (Fallback)</t>
  </si>
  <si>
    <t xml:space="preserve"> VARIÁVEIS FÍSICAS E STATUS DE CONFIGURAÇÃO</t>
  </si>
  <si>
    <t xml:space="preserve">A. Status Operacional do MPFM SUBSEA </t>
  </si>
  <si>
    <t>Onde no arquivo (aba/célula) / Observações</t>
  </si>
  <si>
    <t>Velocidade de Escoamento (v)</t>
  </si>
  <si>
    <t>B. Status Operacional do MPFM TOPSIDE (Riser )</t>
  </si>
  <si>
    <t>dP range - Venturi</t>
  </si>
  <si>
    <t xml:space="preserve">Calibração dos Elementos Secundários (P, DT e T) </t>
  </si>
  <si>
    <t>Testes de Comunicação e Backup</t>
  </si>
  <si>
    <t xml:space="preserve">
• </t>
  </si>
  <si>
    <t>Exportação de Relatórios e Registros</t>
  </si>
  <si>
    <t>C. Status Operacional do FCS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</si>
</sst>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"/>
    <numFmt numFmtId="166" formatCode="#,##0.0"/>
    <numFmt numFmtId="167" formatCode="yyyy\-mm\-dd"/>
    <numFmt numFmtId="168" formatCode="0.0%"/>
    <numFmt numFmtId="169" formatCode="0.0000"/>
  </numFmts>
  <fonts count="4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name val="Cambria"/>
      <family val="1"/>
    </font>
    <font>
      <b/>
      <sz val="9"/>
      <color rgb="FFFFFFFF"/>
      <name val="Cambria"/>
      <family val="1"/>
    </font>
    <font>
      <b/>
      <sz val="12"/>
      <name val="Cambria"/>
      <family val="1"/>
    </font>
    <font>
      <b/>
      <sz val="11"/>
      <name val="Cambria"/>
      <family val="1"/>
    </font>
    <font>
      <b/>
      <sz val="9"/>
      <color indexed="81"/>
      <name val="Tahoma"/>
      <family val="2"/>
    </font>
    <font>
      <b/>
      <sz val="16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b/>
      <sz val="9"/>
      <color theme="0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2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Segoe U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D47A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6A1B9A"/>
      <name val="Calibri"/>
      <family val="2"/>
    </font>
    <font>
      <b/>
      <sz val="11"/>
      <color rgb="FF263238"/>
      <name val="Calibri"/>
      <family val="2"/>
    </font>
    <font>
      <b/>
      <sz val="14"/>
      <color rgb="FF263238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4"/>
      <name val="Calibri"/>
      <family val="2"/>
    </font>
    <font>
      <b/>
      <sz val="11"/>
      <name val="Calibri"/>
      <family val="2"/>
    </font>
  </fonts>
  <fills count="7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5B9BD5"/>
        <bgColor rgb="FF969696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E6E6F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6E6FA"/>
        <bgColor rgb="FFDDEBF7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rgb="FFFFF2CC"/>
      </patternFill>
    </fill>
    <fill>
      <patternFill patternType="solid">
        <fgColor rgb="FFFF0000"/>
        <bgColor rgb="FFFF8080"/>
      </patternFill>
    </fill>
    <fill>
      <patternFill patternType="solid">
        <fgColor rgb="FFFDC0A5"/>
        <bgColor rgb="FFFFF2CC"/>
      </patternFill>
    </fill>
    <fill>
      <patternFill patternType="solid">
        <fgColor theme="9" tint="-0.249977111117893"/>
        <bgColor rgb="FFFF9900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rgb="FF993366"/>
      </patternFill>
    </fill>
    <fill>
      <patternFill patternType="solid">
        <fgColor theme="4" tint="0.79998168889431442"/>
        <bgColor rgb="FFFCE4D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FCE4D6"/>
      </patternFill>
    </fill>
    <fill>
      <patternFill patternType="solid">
        <fgColor rgb="FFC00000"/>
        <bgColor rgb="FF993366"/>
      </patternFill>
    </fill>
    <fill>
      <patternFill patternType="solid">
        <fgColor rgb="FFC00000"/>
        <bgColor rgb="FF0066CC"/>
      </patternFill>
    </fill>
    <fill>
      <patternFill patternType="solid">
        <fgColor rgb="FFFF0000"/>
        <bgColor rgb="FFFF9900"/>
      </patternFill>
    </fill>
    <fill>
      <patternFill patternType="solid">
        <fgColor theme="4" tint="0.39997558519241921"/>
        <bgColor rgb="FFFF9900"/>
      </patternFill>
    </fill>
    <fill>
      <patternFill patternType="solid">
        <fgColor theme="3"/>
        <bgColor rgb="FF003366"/>
      </patternFill>
    </fill>
    <fill>
      <patternFill patternType="solid">
        <fgColor theme="3"/>
        <bgColor rgb="FF993366"/>
      </patternFill>
    </fill>
    <fill>
      <patternFill patternType="solid">
        <fgColor theme="0" tint="-4.9989318521683403E-2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rgb="FFFF8080"/>
      </patternFill>
    </fill>
    <fill>
      <patternFill patternType="solid">
        <fgColor theme="8"/>
        <bgColor rgb="FFFF8080"/>
      </patternFill>
    </fill>
    <fill>
      <patternFill patternType="solid">
        <fgColor theme="3" tint="0.59999389629810485"/>
        <bgColor rgb="FFFF99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79998168889431442"/>
        <bgColor rgb="FFFF9900"/>
      </patternFill>
    </fill>
    <fill>
      <patternFill patternType="solid">
        <fgColor rgb="FF00B050"/>
        <bgColor rgb="FF993366"/>
      </patternFill>
    </fill>
    <fill>
      <patternFill patternType="solid">
        <fgColor rgb="FF00B050"/>
        <bgColor rgb="FF0066CC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rgb="FFFF8080"/>
      </patternFill>
    </fill>
    <fill>
      <patternFill patternType="solid">
        <fgColor theme="6" tint="0.79998168889431442"/>
        <bgColor rgb="FFFCE4D6"/>
      </patternFill>
    </fill>
    <fill>
      <patternFill patternType="solid">
        <fgColor theme="6" tint="0.59999389629810485"/>
        <bgColor rgb="FFFCE4D6"/>
      </patternFill>
    </fill>
    <fill>
      <patternFill patternType="solid">
        <fgColor theme="4" tint="0.59999389629810485"/>
        <bgColor rgb="FFFCE4D6"/>
      </patternFill>
    </fill>
    <fill>
      <patternFill patternType="solid">
        <fgColor theme="5" tint="0.59999389629810485"/>
        <bgColor rgb="FFFCE4D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3F2FD"/>
      </patternFill>
    </fill>
    <fill>
      <patternFill patternType="solid">
        <fgColor rgb="FFFFFDE7"/>
      </patternFill>
    </fill>
    <fill>
      <patternFill patternType="solid">
        <fgColor rgb="FF7030A0"/>
        <bgColor rgb="FF003366"/>
      </patternFill>
    </fill>
    <fill>
      <patternFill patternType="solid">
        <fgColor rgb="FF7030A0"/>
        <bgColor rgb="FF800000"/>
      </patternFill>
    </fill>
    <fill>
      <patternFill patternType="solid">
        <fgColor rgb="FF7030A0"/>
        <bgColor rgb="FF0066CC"/>
      </patternFill>
    </fill>
    <fill>
      <patternFill patternType="solid">
        <fgColor theme="7" tint="0.79998168889431442"/>
        <bgColor rgb="FFFCE4D6"/>
      </patternFill>
    </fill>
    <fill>
      <patternFill patternType="solid">
        <fgColor theme="7" tint="0.79998168889431442"/>
        <bgColor rgb="FFDDEBF7"/>
      </patternFill>
    </fill>
    <fill>
      <patternFill patternType="solid">
        <fgColor rgb="FF263238"/>
      </patternFill>
    </fill>
    <fill>
      <patternFill patternType="solid">
        <fgColor rgb="FF37474F"/>
      </patternFill>
    </fill>
    <fill>
      <patternFill patternType="solid">
        <fgColor theme="8"/>
        <bgColor rgb="FFFF9900"/>
      </patternFill>
    </fill>
    <fill>
      <patternFill patternType="solid">
        <fgColor theme="8" tint="0.79998168889431442"/>
        <bgColor rgb="FFE6E6FA"/>
      </patternFill>
    </fill>
    <fill>
      <patternFill patternType="solid">
        <fgColor theme="4"/>
        <bgColor rgb="FFFF99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5B9BD5"/>
        <bgColor rgb="FF003366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0BEC5"/>
      </left>
      <right style="thin">
        <color rgb="FFB0BEC5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22">
    <xf numFmtId="0" fontId="0" fillId="0" borderId="0" xfId="0"/>
    <xf numFmtId="0" fontId="4" fillId="0" borderId="0" xfId="0" applyFont="1"/>
    <xf numFmtId="0" fontId="3" fillId="7" borderId="1" xfId="0" applyFont="1" applyFill="1" applyBorder="1"/>
    <xf numFmtId="0" fontId="0" fillId="0" borderId="1" xfId="0" applyBorder="1"/>
    <xf numFmtId="0" fontId="5" fillId="0" borderId="0" xfId="0" applyFont="1"/>
    <xf numFmtId="0" fontId="8" fillId="0" borderId="0" xfId="0" applyFont="1"/>
    <xf numFmtId="0" fontId="9" fillId="14" borderId="0" xfId="0" applyFont="1" applyFill="1" applyAlignment="1">
      <alignment horizontal="center" vertical="center" wrapText="1"/>
    </xf>
    <xf numFmtId="0" fontId="8" fillId="15" borderId="0" xfId="0" applyFont="1" applyFill="1"/>
    <xf numFmtId="0" fontId="11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14" fontId="8" fillId="9" borderId="1" xfId="0" applyNumberFormat="1" applyFont="1" applyFill="1" applyBorder="1" applyAlignment="1">
      <alignment horizontal="center" vertical="center" wrapText="1"/>
    </xf>
    <xf numFmtId="164" fontId="8" fillId="10" borderId="1" xfId="0" applyNumberFormat="1" applyFont="1" applyFill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164" fontId="8" fillId="21" borderId="1" xfId="0" applyNumberFormat="1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2" fontId="8" fillId="25" borderId="1" xfId="0" applyNumberFormat="1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horizontal="center" vertical="center" wrapText="1"/>
    </xf>
    <xf numFmtId="2" fontId="8" fillId="26" borderId="1" xfId="0" applyNumberFormat="1" applyFont="1" applyFill="1" applyBorder="1" applyAlignment="1">
      <alignment horizontal="center" vertical="center" wrapText="1"/>
    </xf>
    <xf numFmtId="2" fontId="8" fillId="27" borderId="1" xfId="0" applyNumberFormat="1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4" fillId="32" borderId="1" xfId="0" applyFont="1" applyFill="1" applyBorder="1" applyAlignment="1">
      <alignment horizontal="center" vertical="center" wrapText="1"/>
    </xf>
    <xf numFmtId="0" fontId="14" fillId="33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/>
    <xf numFmtId="0" fontId="0" fillId="38" borderId="0" xfId="0" applyFill="1"/>
    <xf numFmtId="0" fontId="20" fillId="39" borderId="0" xfId="0" applyFont="1" applyFill="1" applyAlignment="1">
      <alignment horizontal="center"/>
    </xf>
    <xf numFmtId="11" fontId="0" fillId="0" borderId="0" xfId="0" applyNumberFormat="1" applyAlignment="1">
      <alignment horizontal="center" vertical="center"/>
    </xf>
    <xf numFmtId="165" fontId="8" fillId="11" borderId="1" xfId="0" applyNumberFormat="1" applyFont="1" applyFill="1" applyBorder="1" applyAlignment="1">
      <alignment horizontal="center" vertical="center" wrapText="1"/>
    </xf>
    <xf numFmtId="0" fontId="14" fillId="40" borderId="1" xfId="0" applyFont="1" applyFill="1" applyBorder="1" applyAlignment="1">
      <alignment horizontal="center" vertical="center" wrapText="1"/>
    </xf>
    <xf numFmtId="0" fontId="12" fillId="41" borderId="1" xfId="0" quotePrefix="1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166" fontId="8" fillId="10" borderId="1" xfId="0" applyNumberFormat="1" applyFont="1" applyFill="1" applyBorder="1" applyAlignment="1">
      <alignment horizontal="center" vertical="center" wrapText="1"/>
    </xf>
    <xf numFmtId="166" fontId="8" fillId="9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42" borderId="0" xfId="0" applyFont="1" applyFill="1" applyAlignment="1">
      <alignment horizontal="center" vertical="center" wrapText="1"/>
    </xf>
    <xf numFmtId="0" fontId="23" fillId="43" borderId="0" xfId="1" applyFont="1" applyFill="1" applyAlignment="1">
      <alignment horizontal="center" vertical="center"/>
    </xf>
    <xf numFmtId="0" fontId="11" fillId="22" borderId="5" xfId="0" applyFont="1" applyFill="1" applyBorder="1" applyAlignment="1">
      <alignment horizontal="center" vertical="center" wrapText="1"/>
    </xf>
    <xf numFmtId="0" fontId="14" fillId="46" borderId="1" xfId="0" applyFont="1" applyFill="1" applyBorder="1" applyAlignment="1">
      <alignment horizontal="center" vertical="center" wrapText="1"/>
    </xf>
    <xf numFmtId="0" fontId="15" fillId="47" borderId="1" xfId="0" applyFont="1" applyFill="1" applyBorder="1" applyAlignment="1">
      <alignment horizontal="center" vertical="center" wrapText="1"/>
    </xf>
    <xf numFmtId="164" fontId="17" fillId="48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13" fillId="49" borderId="1" xfId="0" applyFont="1" applyFill="1" applyBorder="1" applyAlignment="1">
      <alignment horizontal="center" vertical="center" wrapText="1"/>
    </xf>
    <xf numFmtId="4" fontId="17" fillId="48" borderId="1" xfId="0" applyNumberFormat="1" applyFont="1" applyFill="1" applyBorder="1" applyAlignment="1">
      <alignment horizontal="center" vertical="center" wrapText="1"/>
    </xf>
    <xf numFmtId="166" fontId="8" fillId="48" borderId="1" xfId="0" applyNumberFormat="1" applyFont="1" applyFill="1" applyBorder="1" applyAlignment="1">
      <alignment horizontal="center" vertical="center" wrapText="1"/>
    </xf>
    <xf numFmtId="164" fontId="8" fillId="48" borderId="1" xfId="0" applyNumberFormat="1" applyFont="1" applyFill="1" applyBorder="1" applyAlignment="1">
      <alignment horizontal="center" vertical="center" wrapText="1"/>
    </xf>
    <xf numFmtId="0" fontId="8" fillId="50" borderId="1" xfId="0" applyFont="1" applyFill="1" applyBorder="1" applyAlignment="1">
      <alignment horizontal="center" vertical="center" wrapText="1"/>
    </xf>
    <xf numFmtId="2" fontId="8" fillId="50" borderId="1" xfId="0" applyNumberFormat="1" applyFont="1" applyFill="1" applyBorder="1" applyAlignment="1">
      <alignment horizontal="center" vertical="center" wrapText="1"/>
    </xf>
    <xf numFmtId="2" fontId="8" fillId="52" borderId="1" xfId="0" applyNumberFormat="1" applyFont="1" applyFill="1" applyBorder="1" applyAlignment="1">
      <alignment horizontal="center" vertical="center" wrapText="1"/>
    </xf>
    <xf numFmtId="2" fontId="17" fillId="53" borderId="1" xfId="0" applyNumberFormat="1" applyFont="1" applyFill="1" applyBorder="1" applyAlignment="1">
      <alignment horizontal="center" vertical="center" wrapText="1"/>
    </xf>
    <xf numFmtId="2" fontId="8" fillId="53" borderId="1" xfId="0" applyNumberFormat="1" applyFont="1" applyFill="1" applyBorder="1" applyAlignment="1">
      <alignment horizontal="center" vertical="center" wrapText="1"/>
    </xf>
    <xf numFmtId="0" fontId="7" fillId="44" borderId="0" xfId="0" applyFont="1" applyFill="1" applyAlignment="1">
      <alignment vertical="center" wrapText="1"/>
    </xf>
    <xf numFmtId="0" fontId="11" fillId="42" borderId="9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16" fillId="20" borderId="1" xfId="0" applyFont="1" applyFill="1" applyBorder="1" applyAlignment="1">
      <alignment vertical="center" wrapText="1"/>
    </xf>
    <xf numFmtId="2" fontId="17" fillId="51" borderId="1" xfId="0" applyNumberFormat="1" applyFont="1" applyFill="1" applyBorder="1" applyAlignment="1">
      <alignment horizontal="center" vertical="center" wrapText="1"/>
    </xf>
    <xf numFmtId="2" fontId="8" fillId="51" borderId="1" xfId="0" applyNumberFormat="1" applyFont="1" applyFill="1" applyBorder="1" applyAlignment="1">
      <alignment horizontal="center" vertical="center" wrapText="1"/>
    </xf>
    <xf numFmtId="0" fontId="9" fillId="14" borderId="8" xfId="0" applyFont="1" applyFill="1" applyBorder="1" applyAlignment="1">
      <alignment horizontal="center" vertical="center" wrapText="1"/>
    </xf>
    <xf numFmtId="0" fontId="8" fillId="43" borderId="10" xfId="0" applyFont="1" applyFill="1" applyBorder="1"/>
    <xf numFmtId="0" fontId="8" fillId="43" borderId="11" xfId="0" applyFont="1" applyFill="1" applyBorder="1"/>
    <xf numFmtId="0" fontId="11" fillId="2" borderId="5" xfId="0" applyFont="1" applyFill="1" applyBorder="1" applyAlignment="1">
      <alignment horizontal="center" vertical="center" wrapText="1"/>
    </xf>
    <xf numFmtId="0" fontId="8" fillId="23" borderId="5" xfId="0" applyFont="1" applyFill="1" applyBorder="1" applyAlignment="1">
      <alignment horizontal="center" vertical="center" wrapText="1"/>
    </xf>
    <xf numFmtId="0" fontId="15" fillId="29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4" fontId="8" fillId="9" borderId="4" xfId="0" applyNumberFormat="1" applyFont="1" applyFill="1" applyBorder="1" applyAlignment="1">
      <alignment horizontal="center" vertical="center" wrapText="1"/>
    </xf>
    <xf numFmtId="2" fontId="8" fillId="27" borderId="2" xfId="0" applyNumberFormat="1" applyFont="1" applyFill="1" applyBorder="1" applyAlignment="1">
      <alignment horizontal="center" vertical="center" wrapText="1"/>
    </xf>
    <xf numFmtId="14" fontId="8" fillId="9" borderId="6" xfId="0" applyNumberFormat="1" applyFont="1" applyFill="1" applyBorder="1" applyAlignment="1">
      <alignment horizontal="center" vertical="center" wrapText="1"/>
    </xf>
    <xf numFmtId="14" fontId="8" fillId="9" borderId="15" xfId="0" applyNumberFormat="1" applyFont="1" applyFill="1" applyBorder="1" applyAlignment="1">
      <alignment horizontal="center" vertical="center" wrapText="1"/>
    </xf>
    <xf numFmtId="166" fontId="8" fillId="10" borderId="15" xfId="0" applyNumberFormat="1" applyFont="1" applyFill="1" applyBorder="1" applyAlignment="1">
      <alignment horizontal="center" vertical="center" wrapText="1"/>
    </xf>
    <xf numFmtId="166" fontId="8" fillId="9" borderId="15" xfId="0" applyNumberFormat="1" applyFont="1" applyFill="1" applyBorder="1" applyAlignment="1">
      <alignment horizontal="center" vertical="center" wrapText="1"/>
    </xf>
    <xf numFmtId="4" fontId="17" fillId="48" borderId="15" xfId="0" applyNumberFormat="1" applyFont="1" applyFill="1" applyBorder="1" applyAlignment="1">
      <alignment horizontal="center" vertical="center" wrapText="1"/>
    </xf>
    <xf numFmtId="166" fontId="8" fillId="48" borderId="15" xfId="0" applyNumberFormat="1" applyFont="1" applyFill="1" applyBorder="1" applyAlignment="1">
      <alignment horizontal="center" vertical="center" wrapText="1"/>
    </xf>
    <xf numFmtId="164" fontId="8" fillId="48" borderId="15" xfId="0" applyNumberFormat="1" applyFont="1" applyFill="1" applyBorder="1" applyAlignment="1">
      <alignment horizontal="center" vertical="center" wrapText="1"/>
    </xf>
    <xf numFmtId="164" fontId="8" fillId="21" borderId="15" xfId="0" applyNumberFormat="1" applyFont="1" applyFill="1" applyBorder="1" applyAlignment="1">
      <alignment horizontal="center" vertical="center" wrapText="1"/>
    </xf>
    <xf numFmtId="0" fontId="8" fillId="19" borderId="15" xfId="0" applyFont="1" applyFill="1" applyBorder="1" applyAlignment="1">
      <alignment horizontal="center" vertical="center" wrapText="1"/>
    </xf>
    <xf numFmtId="2" fontId="8" fillId="50" borderId="15" xfId="0" applyNumberFormat="1" applyFont="1" applyFill="1" applyBorder="1" applyAlignment="1">
      <alignment horizontal="center" vertical="center" wrapText="1"/>
    </xf>
    <xf numFmtId="2" fontId="17" fillId="51" borderId="15" xfId="0" applyNumberFormat="1" applyFont="1" applyFill="1" applyBorder="1" applyAlignment="1">
      <alignment horizontal="center" vertical="center" wrapText="1"/>
    </xf>
    <xf numFmtId="2" fontId="8" fillId="51" borderId="15" xfId="0" applyNumberFormat="1" applyFont="1" applyFill="1" applyBorder="1" applyAlignment="1">
      <alignment horizontal="center" vertical="center" wrapText="1"/>
    </xf>
    <xf numFmtId="0" fontId="8" fillId="50" borderId="15" xfId="0" applyFont="1" applyFill="1" applyBorder="1" applyAlignment="1">
      <alignment horizontal="center" vertical="center" wrapText="1"/>
    </xf>
    <xf numFmtId="2" fontId="8" fillId="25" borderId="15" xfId="0" applyNumberFormat="1" applyFont="1" applyFill="1" applyBorder="1" applyAlignment="1">
      <alignment horizontal="center" vertical="center" wrapText="1"/>
    </xf>
    <xf numFmtId="2" fontId="8" fillId="52" borderId="15" xfId="0" applyNumberFormat="1" applyFont="1" applyFill="1" applyBorder="1" applyAlignment="1">
      <alignment horizontal="center" vertical="center" wrapText="1"/>
    </xf>
    <xf numFmtId="0" fontId="8" fillId="25" borderId="15" xfId="0" applyFont="1" applyFill="1" applyBorder="1" applyAlignment="1">
      <alignment horizontal="center" vertical="center" wrapText="1"/>
    </xf>
    <xf numFmtId="2" fontId="8" fillId="26" borderId="15" xfId="0" applyNumberFormat="1" applyFont="1" applyFill="1" applyBorder="1" applyAlignment="1">
      <alignment horizontal="center" vertical="center" wrapText="1"/>
    </xf>
    <xf numFmtId="2" fontId="8" fillId="27" borderId="15" xfId="0" applyNumberFormat="1" applyFont="1" applyFill="1" applyBorder="1" applyAlignment="1">
      <alignment horizontal="center" vertical="center" wrapText="1"/>
    </xf>
    <xf numFmtId="2" fontId="17" fillId="53" borderId="15" xfId="0" applyNumberFormat="1" applyFont="1" applyFill="1" applyBorder="1" applyAlignment="1">
      <alignment horizontal="center" vertical="center" wrapText="1"/>
    </xf>
    <xf numFmtId="2" fontId="8" fillId="53" borderId="15" xfId="0" applyNumberFormat="1" applyFont="1" applyFill="1" applyBorder="1" applyAlignment="1">
      <alignment horizontal="center" vertical="center" wrapText="1"/>
    </xf>
    <xf numFmtId="0" fontId="8" fillId="27" borderId="15" xfId="0" applyFont="1" applyFill="1" applyBorder="1" applyAlignment="1">
      <alignment horizontal="center" vertical="center" wrapText="1"/>
    </xf>
    <xf numFmtId="2" fontId="8" fillId="27" borderId="7" xfId="0" applyNumberFormat="1" applyFont="1" applyFill="1" applyBorder="1" applyAlignment="1">
      <alignment horizontal="center" vertical="center" wrapText="1"/>
    </xf>
    <xf numFmtId="0" fontId="22" fillId="39" borderId="8" xfId="1" applyFont="1" applyFill="1" applyBorder="1" applyAlignment="1">
      <alignment horizontal="center" vertical="center" wrapText="1"/>
    </xf>
    <xf numFmtId="0" fontId="10" fillId="31" borderId="1" xfId="0" applyFont="1" applyFill="1" applyBorder="1" applyAlignment="1">
      <alignment horizontal="center" vertical="center" wrapText="1"/>
    </xf>
    <xf numFmtId="0" fontId="9" fillId="45" borderId="0" xfId="0" applyFont="1" applyFill="1" applyAlignment="1">
      <alignment horizontal="center" vertical="center" wrapText="1"/>
    </xf>
    <xf numFmtId="0" fontId="19" fillId="34" borderId="8" xfId="0" applyFont="1" applyFill="1" applyBorder="1" applyAlignment="1">
      <alignment horizontal="center" vertical="center" wrapText="1"/>
    </xf>
    <xf numFmtId="0" fontId="25" fillId="55" borderId="17" xfId="1" applyFont="1" applyFill="1" applyBorder="1" applyAlignment="1">
      <alignment horizontal="left" vertical="center" wrapText="1"/>
    </xf>
    <xf numFmtId="0" fontId="16" fillId="59" borderId="1" xfId="0" applyFont="1" applyFill="1" applyBorder="1" applyAlignment="1">
      <alignment horizontal="center" vertical="center" wrapText="1"/>
    </xf>
    <xf numFmtId="0" fontId="12" fillId="58" borderId="1" xfId="0" applyFont="1" applyFill="1" applyBorder="1" applyAlignment="1">
      <alignment horizontal="center" vertical="center" wrapText="1"/>
    </xf>
    <xf numFmtId="0" fontId="8" fillId="60" borderId="1" xfId="0" applyFont="1" applyFill="1" applyBorder="1" applyAlignment="1">
      <alignment horizontal="center" vertical="center" wrapText="1"/>
    </xf>
    <xf numFmtId="0" fontId="8" fillId="61" borderId="1" xfId="0" applyFont="1" applyFill="1" applyBorder="1" applyAlignment="1">
      <alignment horizontal="center" vertical="center" wrapText="1"/>
    </xf>
    <xf numFmtId="0" fontId="27" fillId="63" borderId="17" xfId="0" applyFont="1" applyFill="1" applyBorder="1" applyAlignment="1">
      <alignment horizontal="center" vertical="center" wrapText="1"/>
    </xf>
    <xf numFmtId="167" fontId="25" fillId="55" borderId="17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68" fontId="0" fillId="0" borderId="17" xfId="0" applyNumberFormat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 wrapText="1"/>
    </xf>
    <xf numFmtId="169" fontId="0" fillId="0" borderId="17" xfId="0" applyNumberFormat="1" applyBorder="1" applyAlignment="1">
      <alignment horizontal="center" vertical="center" wrapText="1"/>
    </xf>
    <xf numFmtId="167" fontId="0" fillId="0" borderId="17" xfId="0" applyNumberForma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left" vertical="top" wrapText="1"/>
    </xf>
    <xf numFmtId="0" fontId="25" fillId="55" borderId="17" xfId="0" applyFont="1" applyFill="1" applyBorder="1" applyAlignment="1">
      <alignment horizontal="center" vertical="center" wrapText="1"/>
    </xf>
    <xf numFmtId="0" fontId="29" fillId="56" borderId="17" xfId="0" applyFont="1" applyFill="1" applyBorder="1"/>
    <xf numFmtId="0" fontId="0" fillId="0" borderId="17" xfId="0" applyBorder="1" applyAlignment="1">
      <alignment horizontal="left" vertical="center" wrapText="1"/>
    </xf>
    <xf numFmtId="0" fontId="25" fillId="55" borderId="17" xfId="0" applyFont="1" applyFill="1" applyBorder="1" applyAlignment="1">
      <alignment horizontal="left" vertical="center" wrapText="1"/>
    </xf>
    <xf numFmtId="0" fontId="0" fillId="56" borderId="17" xfId="0" applyFill="1" applyBorder="1" applyAlignment="1">
      <alignment horizontal="left" vertical="top" wrapText="1"/>
    </xf>
    <xf numFmtId="0" fontId="0" fillId="0" borderId="19" xfId="0" applyBorder="1" applyAlignment="1">
      <alignment horizontal="left" vertical="center" wrapText="1"/>
    </xf>
    <xf numFmtId="14" fontId="8" fillId="65" borderId="1" xfId="0" applyNumberFormat="1" applyFont="1" applyFill="1" applyBorder="1" applyAlignment="1">
      <alignment horizontal="center" vertical="center" wrapText="1"/>
    </xf>
    <xf numFmtId="14" fontId="8" fillId="65" borderId="1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/>
    <xf numFmtId="0" fontId="8" fillId="54" borderId="0" xfId="0" applyFont="1" applyFill="1"/>
    <xf numFmtId="0" fontId="12" fillId="40" borderId="1" xfId="0" applyFont="1" applyFill="1" applyBorder="1" applyAlignment="1">
      <alignment horizontal="center" vertical="center" wrapText="1"/>
    </xf>
    <xf numFmtId="0" fontId="14" fillId="68" borderId="1" xfId="0" applyFont="1" applyFill="1" applyBorder="1" applyAlignment="1">
      <alignment horizontal="center" vertical="center" wrapText="1"/>
    </xf>
    <xf numFmtId="0" fontId="31" fillId="54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54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4" fillId="0" borderId="1" xfId="0" applyFont="1" applyBorder="1" applyAlignment="1">
      <alignment vertical="center" wrapText="1"/>
    </xf>
    <xf numFmtId="0" fontId="37" fillId="0" borderId="0" xfId="0" applyFont="1"/>
    <xf numFmtId="0" fontId="39" fillId="43" borderId="17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6" fillId="40" borderId="1" xfId="0" applyFont="1" applyFill="1" applyBorder="1" applyAlignment="1">
      <alignment horizontal="center" vertical="center" wrapText="1"/>
    </xf>
    <xf numFmtId="0" fontId="15" fillId="4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41" borderId="1" xfId="0" applyFont="1" applyFill="1" applyBorder="1" applyAlignment="1">
      <alignment horizontal="center" vertical="center" wrapText="1"/>
    </xf>
    <xf numFmtId="0" fontId="22" fillId="39" borderId="13" xfId="1" applyFont="1" applyFill="1" applyBorder="1" applyAlignment="1">
      <alignment horizontal="center" vertical="center" wrapText="1"/>
    </xf>
    <xf numFmtId="0" fontId="22" fillId="39" borderId="8" xfId="1" applyFont="1" applyFill="1" applyBorder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23" fillId="43" borderId="11" xfId="1" applyFont="1" applyFill="1" applyBorder="1" applyAlignment="1">
      <alignment horizontal="left" vertical="center"/>
    </xf>
    <xf numFmtId="0" fontId="23" fillId="43" borderId="12" xfId="1" applyFont="1" applyFill="1" applyBorder="1" applyAlignment="1">
      <alignment horizontal="left" vertical="center"/>
    </xf>
    <xf numFmtId="0" fontId="15" fillId="31" borderId="4" xfId="0" applyFont="1" applyFill="1" applyBorder="1" applyAlignment="1">
      <alignment horizontal="center" vertical="center" wrapText="1"/>
    </xf>
    <xf numFmtId="0" fontId="22" fillId="30" borderId="8" xfId="0" applyFont="1" applyFill="1" applyBorder="1" applyAlignment="1">
      <alignment horizontal="center" vertical="center" wrapText="1"/>
    </xf>
    <xf numFmtId="0" fontId="22" fillId="30" borderId="14" xfId="0" applyFont="1" applyFill="1" applyBorder="1" applyAlignment="1">
      <alignment horizontal="center" vertical="center" wrapText="1"/>
    </xf>
    <xf numFmtId="0" fontId="19" fillId="34" borderId="8" xfId="0" applyFont="1" applyFill="1" applyBorder="1" applyAlignment="1">
      <alignment horizontal="center" vertical="center" wrapText="1"/>
    </xf>
    <xf numFmtId="0" fontId="10" fillId="31" borderId="1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23" fillId="43" borderId="0" xfId="1" applyFont="1" applyFill="1" applyAlignment="1">
      <alignment horizontal="left" vertical="center"/>
    </xf>
    <xf numFmtId="0" fontId="9" fillId="45" borderId="0" xfId="0" applyFont="1" applyFill="1" applyAlignment="1">
      <alignment horizontal="center" vertical="center" wrapText="1"/>
    </xf>
    <xf numFmtId="0" fontId="16" fillId="40" borderId="20" xfId="0" applyFont="1" applyFill="1" applyBorder="1" applyAlignment="1">
      <alignment horizontal="center" vertical="center" wrapText="1"/>
    </xf>
    <xf numFmtId="0" fontId="16" fillId="40" borderId="3" xfId="0" applyFont="1" applyFill="1" applyBorder="1" applyAlignment="1">
      <alignment horizontal="center" vertical="center" wrapText="1"/>
    </xf>
    <xf numFmtId="0" fontId="10" fillId="64" borderId="18" xfId="0" applyFont="1" applyFill="1" applyBorder="1" applyAlignment="1">
      <alignment horizontal="center" vertical="center" wrapText="1"/>
    </xf>
    <xf numFmtId="0" fontId="10" fillId="64" borderId="8" xfId="0" applyFont="1" applyFill="1" applyBorder="1" applyAlignment="1">
      <alignment horizontal="center" vertical="center" wrapText="1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9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57" borderId="3" xfId="0" applyFont="1" applyFill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4" fillId="66" borderId="4" xfId="0" applyFont="1" applyFill="1" applyBorder="1" applyAlignment="1">
      <alignment horizontal="center" vertical="center" wrapText="1"/>
    </xf>
    <xf numFmtId="0" fontId="4" fillId="0" borderId="0" xfId="0" applyFont="1"/>
    <xf numFmtId="0" fontId="26" fillId="62" borderId="0" xfId="0" applyFont="1" applyFill="1" applyAlignment="1">
      <alignment horizontal="center" vertical="center" wrapText="1"/>
    </xf>
    <xf numFmtId="0" fontId="0" fillId="0" borderId="0" xfId="0"/>
    <xf numFmtId="0" fontId="30" fillId="67" borderId="21" xfId="0" applyFont="1" applyFill="1" applyBorder="1" applyAlignment="1">
      <alignment horizontal="center"/>
    </xf>
    <xf numFmtId="0" fontId="30" fillId="67" borderId="22" xfId="0" applyFont="1" applyFill="1" applyBorder="1" applyAlignment="1">
      <alignment horizontal="center"/>
    </xf>
    <xf numFmtId="0" fontId="30" fillId="67" borderId="23" xfId="0" applyFont="1" applyFill="1" applyBorder="1" applyAlignment="1">
      <alignment horizontal="center"/>
    </xf>
    <xf numFmtId="0" fontId="2" fillId="0" borderId="0" xfId="0" applyFont="1"/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33" fillId="43" borderId="9" xfId="0" applyFont="1" applyFill="1" applyBorder="1" applyAlignment="1">
      <alignment horizontal="left" vertical="center"/>
    </xf>
    <xf numFmtId="0" fontId="31" fillId="54" borderId="16" xfId="0" applyFont="1" applyFill="1" applyBorder="1" applyAlignment="1">
      <alignment horizontal="center" vertical="center"/>
    </xf>
    <xf numFmtId="0" fontId="31" fillId="54" borderId="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34" fillId="69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9" fillId="67" borderId="0" xfId="0" applyFont="1" applyFill="1" applyAlignment="1">
      <alignment horizontal="center" vertical="center" wrapText="1"/>
    </xf>
    <xf numFmtId="0" fontId="38" fillId="67" borderId="0" xfId="0" applyFont="1" applyFill="1"/>
    <xf numFmtId="0" fontId="0" fillId="0" borderId="2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33" fillId="67" borderId="2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1266555-4973-489C-9923-8205EFFA3054}"/>
  </cellStyles>
  <dxfs count="2">
    <dxf>
      <fill>
        <patternFill>
          <bgColor rgb="FFFFEB9C"/>
        </patternFill>
      </fill>
    </dxf>
    <dxf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A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B9BD5"/>
      <color rgb="FFFDC0A5"/>
      <color rgb="FFFFCC99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17063</xdr:colOff>
      <xdr:row>0</xdr:row>
      <xdr:rowOff>34290</xdr:rowOff>
    </xdr:from>
    <xdr:to>
      <xdr:col>2</xdr:col>
      <xdr:colOff>401188</xdr:colOff>
      <xdr:row>0</xdr:row>
      <xdr:rowOff>436328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DF9CA846-2BAC-4C98-810B-8121167FF0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869" b="16980"/>
        <a:stretch>
          <a:fillRect/>
        </a:stretch>
      </xdr:blipFill>
      <xdr:spPr>
        <a:xfrm>
          <a:off x="17063" y="34290"/>
          <a:ext cx="1278978" cy="41537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40968</xdr:rowOff>
    </xdr:from>
    <xdr:to>
      <xdr:col>2</xdr:col>
      <xdr:colOff>247050</xdr:colOff>
      <xdr:row>0</xdr:row>
      <xdr:rowOff>437291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16158C53-C1BB-4BD3-960C-705F7E019F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869" b="16980"/>
        <a:stretch>
          <a:fillRect/>
        </a:stretch>
      </xdr:blipFill>
      <xdr:spPr>
        <a:xfrm>
          <a:off x="0" y="40968"/>
          <a:ext cx="1237896" cy="4077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17063</xdr:colOff>
      <xdr:row>0</xdr:row>
      <xdr:rowOff>34290</xdr:rowOff>
    </xdr:from>
    <xdr:to>
      <xdr:col>2</xdr:col>
      <xdr:colOff>396715</xdr:colOff>
      <xdr:row>0</xdr:row>
      <xdr:rowOff>440138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E0A29FDC-2B34-476A-A675-C1377E3A84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869" b="16980"/>
        <a:stretch>
          <a:fillRect/>
        </a:stretch>
      </xdr:blipFill>
      <xdr:spPr>
        <a:xfrm>
          <a:off x="20873" y="34290"/>
          <a:ext cx="1233755" cy="40584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382193</xdr:colOff>
      <xdr:row>2</xdr:row>
      <xdr:rowOff>117283</xdr:rowOff>
    </xdr:from>
    <xdr:to>
      <xdr:col>28</xdr:col>
      <xdr:colOff>396322</xdr:colOff>
      <xdr:row>27</xdr:row>
      <xdr:rowOff>74663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9E60F9-FB73-4C24-922B-679B36198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72613" y="544003"/>
          <a:ext cx="3660299" cy="45293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uricio Anízio de Amorim (Swift Technical Serv Tec Espec)" id="{F57EED1C-55C2-45DC-84B7-E88DB0823049}" userId="S::MAUAM@equinor.com::1a352242-a160-428d-8299-65cd3b23ae5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5904AC-0B71-42D6-B819-2214BACC0894}" name="tbl_param_rtm" displayName="tbl_param_rtm" ref="A43:E53">
  <autoFilter ref="A43:E53" xr:uid="{445904AC-0B71-42D6-B819-2214BACC0894}"/>
  <tableColumns count="5">
    <tableColumn id="1" xr3:uid="{A685097E-8B8D-42FA-8067-CF47E8872F85}" name="Descrição"/>
    <tableColumn id="2" xr3:uid="{C83D314E-4DAD-4015-8734-515141EC883F}" name="Chave"/>
    <tableColumn id="3" xr3:uid="{0F64E305-840F-4449-BD75-292F199EA99A}" name="Valor"/>
    <tableColumn id="4" xr3:uid="{0FCA8630-B5D6-483B-88F7-5D570BA763E2}" name="Unidade"/>
    <tableColumn id="5" xr3:uid="{2A3E529C-468F-44E6-AD47-B2750DE9BE48}" name="No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2" dT="2026-01-28T06:17:07.97" personId="{F57EED1C-55C2-45DC-84B7-E88DB0823049}" id="{6AC1BA89-CC05-4EA8-BA1B-D8F1BC8F0730}">
    <text>Faixa definida: 0-1035 barg (faixa calibrada)</text>
  </threadedComment>
  <threadedComment ref="B22" dT="2026-01-28T06:17:24.63" personId="{F57EED1C-55C2-45DC-84B7-E88DB0823049}" id="{C4C2D925-0707-4B51-B9F6-69B155FA59B4}">
    <text>Comparar apenas com sensores redundantes</text>
  </threadedComment>
  <threadedComment ref="A23" dT="2026-01-28T06:17:52.02" personId="{F57EED1C-55C2-45DC-84B7-E88DB0823049}" id="{B5DB143D-56CA-461F-AC3A-6996B8CD971F}">
    <text>-30°C -  121°C
(faixa calibrada)</text>
  </threadedComment>
  <threadedComment ref="B23" dT="2026-01-28T06:18:10.10" personId="{F57EED1C-55C2-45DC-84B7-E88DB0823049}" id="{82A1C51B-4124-4BAE-ADE6-F6E0C0B64FED}">
    <text>Comparações internas</text>
  </threadedComment>
  <threadedComment ref="A27" dT="2026-01-28T05:51:12.49" personId="{F57EED1C-55C2-45DC-84B7-E88DB0823049}" id="{6E799A63-DCBB-4080-902D-531B24814D7C}">
    <text xml:space="preserve">100 mbar - 5000 mbar </text>
  </threadedComment>
  <threadedComment ref="A28" dT="2026-01-28T05:52:41.00" personId="{F57EED1C-55C2-45DC-84B7-E88DB0823049}" id="{D43C32F4-9B1F-4EA4-81D7-AB6B78E40FE3}">
    <text>30 m/s</text>
  </threadedComment>
  <threadedComment ref="A37" dT="2026-01-28T06:15:12.19" personId="{F57EED1C-55C2-45DC-84B7-E88DB0823049}" id="{56E273B1-49CA-4808-8777-E935FC26CF80}">
    <text>100 mbar – 5000 Mbar</text>
  </threadedComment>
  <threadedComment ref="A38" dT="2026-01-28T06:15:24.78" personId="{F57EED1C-55C2-45DC-84B7-E88DB0823049}" id="{6C88AE04-8A25-4B32-9335-DD4B216955A8}">
    <text>30 – 60 °C</text>
  </threadedComment>
  <threadedComment ref="A42" dT="2026-01-28T05:51:12.49" personId="{F57EED1C-55C2-45DC-84B7-E88DB0823049}" id="{B276B1ED-F890-42E2-BF39-5D0E308AB0E3}">
    <text>50 mbar - 5000 mbar</text>
  </threadedComment>
  <threadedComment ref="A43" dT="2026-01-28T05:52:41.00" personId="{F57EED1C-55C2-45DC-84B7-E88DB0823049}" id="{B416B32D-425F-4E61-81CE-F5B3F2B5AF09}">
    <text>30 m/s</text>
  </threadedComment>
  <threadedComment ref="A49" dT="2026-01-28T05:56:20.39" personId="{F57EED1C-55C2-45DC-84B7-E88DB0823049}" id="{2400CEA8-D692-4F7D-8473-C4A1393FB912}">
    <text xml:space="preserve"> dos MPMFs e da fonte gama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O31"/>
  <sheetViews>
    <sheetView showGridLines="0" view="pageBreakPreview" zoomScale="115" zoomScaleNormal="120" zoomScaleSheetLayoutView="115" workbookViewId="0">
      <selection activeCell="R9" sqref="R9"/>
    </sheetView>
  </sheetViews>
  <sheetFormatPr defaultColWidth="8.7109375" defaultRowHeight="15" x14ac:dyDescent="0.25"/>
  <cols>
    <col min="1" max="1" width="12.5703125" style="5" customWidth="1"/>
    <col min="2" max="2" width="17" style="5" hidden="1" customWidth="1"/>
    <col min="3" max="3" width="11" style="5" customWidth="1"/>
    <col min="4" max="4" width="9" style="5" customWidth="1"/>
    <col min="5" max="5" width="11.42578125" style="5" customWidth="1"/>
    <col min="6" max="6" width="12.42578125" style="5" customWidth="1"/>
    <col min="7" max="7" width="11" style="5" customWidth="1"/>
    <col min="8" max="8" width="12.42578125" style="5" customWidth="1"/>
    <col min="9" max="9" width="11.28515625" style="5" customWidth="1"/>
    <col min="10" max="10" width="10" style="5" customWidth="1"/>
    <col min="11" max="11" width="8.5703125" style="5" customWidth="1"/>
    <col min="12" max="12" width="13" style="5" customWidth="1"/>
    <col min="13" max="13" width="10.42578125" style="5" customWidth="1"/>
    <col min="14" max="14" width="9.42578125" style="5" customWidth="1"/>
    <col min="15" max="15" width="8.42578125" style="5" customWidth="1"/>
    <col min="16" max="16" width="7.5703125" style="5" customWidth="1"/>
    <col min="17" max="17" width="7.85546875" style="5" customWidth="1"/>
    <col min="18" max="18" width="7.28515625" style="5" customWidth="1"/>
    <col min="19" max="19" width="7.140625" style="5" customWidth="1"/>
    <col min="20" max="20" width="12.28515625" style="5" customWidth="1"/>
    <col min="21" max="21" width="9.5703125" style="5" customWidth="1"/>
    <col min="22" max="22" width="8.85546875" style="5" customWidth="1"/>
    <col min="23" max="24" width="13.140625" style="5" hidden="1" customWidth="1"/>
    <col min="25" max="25" width="10.28515625" style="5" hidden="1" customWidth="1"/>
    <col min="26" max="26" width="16" style="5" hidden="1" customWidth="1"/>
    <col min="27" max="27" width="16.28515625" style="5" hidden="1" customWidth="1"/>
    <col min="28" max="28" width="12.28515625" style="5" customWidth="1"/>
    <col min="29" max="29" width="12.140625" style="5" customWidth="1"/>
    <col min="30" max="30" width="6.5703125" style="5" customWidth="1"/>
    <col min="31" max="31" width="7.28515625" style="5" customWidth="1"/>
    <col min="32" max="32" width="12.5703125" style="5" customWidth="1"/>
    <col min="33" max="33" width="6.85546875" style="5" customWidth="1"/>
    <col min="34" max="34" width="5.85546875" style="5" customWidth="1"/>
    <col min="35" max="35" width="8.42578125" style="5" customWidth="1"/>
    <col min="36" max="36" width="13.28515625" style="5" customWidth="1"/>
    <col min="37" max="37" width="13.7109375" style="5" customWidth="1"/>
    <col min="38" max="38" width="10.7109375" style="5" customWidth="1"/>
    <col min="39" max="39" width="9.28515625" style="5" customWidth="1"/>
    <col min="40" max="40" width="13.7109375" style="5" customWidth="1"/>
    <col min="41" max="41" width="11.42578125" style="5" customWidth="1"/>
    <col min="42" max="42" width="8" style="5" customWidth="1"/>
    <col min="43" max="43" width="11.85546875" style="5" customWidth="1"/>
    <col min="44" max="46" width="12.28515625" style="59" customWidth="1"/>
    <col min="47" max="47" width="10.7109375" style="59" customWidth="1"/>
    <col min="48" max="48" width="12.28515625" style="59" customWidth="1"/>
    <col min="49" max="49" width="11.140625" style="59" customWidth="1"/>
    <col min="50" max="50" width="9" style="59" customWidth="1"/>
    <col min="51" max="51" width="16.5703125" style="59" customWidth="1"/>
    <col min="52" max="55" width="10" style="5" hidden="1" customWidth="1"/>
    <col min="56" max="56" width="41.5703125" style="5" hidden="1" customWidth="1"/>
    <col min="57" max="57" width="40.7109375" style="5" hidden="1" customWidth="1"/>
    <col min="58" max="58" width="14" style="5" hidden="1" customWidth="1"/>
    <col min="59" max="59" width="16" style="5" hidden="1" customWidth="1"/>
    <col min="60" max="60" width="12" style="5" hidden="1" customWidth="1"/>
    <col min="61" max="61" width="14" style="5" hidden="1" customWidth="1"/>
    <col min="62" max="62" width="15" style="5" hidden="1" customWidth="1"/>
    <col min="63" max="63" width="12" style="5" hidden="1" customWidth="1"/>
    <col min="64" max="64" width="13" style="5" hidden="1" customWidth="1"/>
    <col min="65" max="65" width="12" style="5" hidden="1" customWidth="1"/>
    <col min="66" max="66" width="14" style="5" hidden="1" customWidth="1"/>
    <col min="67" max="67" width="7.85546875" style="5" hidden="1" customWidth="1"/>
    <col min="68" max="16384" width="8.7109375" style="5"/>
  </cols>
  <sheetData>
    <row r="1" spans="1:67" ht="39" customHeight="1" thickBot="1" x14ac:dyDescent="0.3">
      <c r="A1" s="83"/>
      <c r="B1" s="84"/>
      <c r="C1" s="170" t="s">
        <v>158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</row>
    <row r="2" spans="1:67" s="7" customFormat="1" ht="18.75" hidden="1" x14ac:dyDescent="0.25">
      <c r="A2" s="167" t="s">
        <v>176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82"/>
      <c r="X2" s="82"/>
      <c r="Y2" s="82"/>
      <c r="Z2" s="82"/>
      <c r="AA2" s="82"/>
      <c r="AB2" s="175" t="s">
        <v>0</v>
      </c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3" t="s">
        <v>1</v>
      </c>
      <c r="AS2" s="173"/>
      <c r="AT2" s="173"/>
      <c r="AU2" s="173"/>
      <c r="AV2" s="173"/>
      <c r="AW2" s="173"/>
      <c r="AX2" s="173"/>
      <c r="AY2" s="174"/>
      <c r="AZ2" s="169"/>
      <c r="BA2" s="169"/>
      <c r="BB2" s="169"/>
      <c r="BC2" s="169"/>
      <c r="BD2" s="169"/>
      <c r="BE2" s="169"/>
      <c r="BF2" s="6"/>
      <c r="BG2" s="6"/>
      <c r="BH2" s="6"/>
      <c r="BI2" s="6"/>
      <c r="BJ2" s="6"/>
      <c r="BK2" s="6"/>
      <c r="BL2" s="6"/>
      <c r="BM2" s="6"/>
      <c r="BN2" s="6"/>
      <c r="BO2" s="6"/>
    </row>
    <row r="3" spans="1:67" s="38" customFormat="1" ht="15" customHeight="1" x14ac:dyDescent="0.2">
      <c r="A3" s="172" t="s">
        <v>2</v>
      </c>
      <c r="B3" s="78"/>
      <c r="C3" s="177" t="s">
        <v>178</v>
      </c>
      <c r="D3" s="178"/>
      <c r="E3" s="178"/>
      <c r="F3" s="178"/>
      <c r="G3" s="178"/>
      <c r="H3" s="179"/>
      <c r="I3" s="180" t="s">
        <v>179</v>
      </c>
      <c r="J3" s="181"/>
      <c r="K3" s="181"/>
      <c r="L3" s="181"/>
      <c r="M3" s="181"/>
      <c r="N3" s="182"/>
      <c r="O3" s="160" t="s">
        <v>180</v>
      </c>
      <c r="P3" s="160"/>
      <c r="Q3" s="160"/>
      <c r="R3" s="160"/>
      <c r="S3" s="160"/>
      <c r="T3" s="160"/>
      <c r="U3" s="160"/>
      <c r="V3" s="160"/>
      <c r="W3" s="79" t="s">
        <v>3</v>
      </c>
      <c r="X3" s="79"/>
      <c r="Y3" s="79"/>
      <c r="Z3" s="165" t="s">
        <v>4</v>
      </c>
      <c r="AA3" s="166" t="s">
        <v>5</v>
      </c>
      <c r="AB3" s="161" t="s">
        <v>174</v>
      </c>
      <c r="AC3" s="161"/>
      <c r="AD3" s="161"/>
      <c r="AE3" s="161"/>
      <c r="AF3" s="161"/>
      <c r="AG3" s="161"/>
      <c r="AH3" s="161"/>
      <c r="AI3" s="161"/>
      <c r="AJ3" s="162" t="s">
        <v>175</v>
      </c>
      <c r="AK3" s="162"/>
      <c r="AL3" s="162"/>
      <c r="AM3" s="162"/>
      <c r="AN3" s="162"/>
      <c r="AO3" s="162"/>
      <c r="AP3" s="162"/>
      <c r="AQ3" s="162"/>
      <c r="AR3" s="163" t="s">
        <v>6</v>
      </c>
      <c r="AS3" s="163"/>
      <c r="AT3" s="163"/>
      <c r="AU3" s="163"/>
      <c r="AV3" s="163"/>
      <c r="AW3" s="163"/>
      <c r="AX3" s="163"/>
      <c r="AY3" s="164"/>
      <c r="AZ3" s="159" t="s">
        <v>7</v>
      </c>
      <c r="BA3" s="159"/>
      <c r="BB3" s="159"/>
      <c r="BC3" s="159"/>
      <c r="BD3" s="158" t="s">
        <v>8</v>
      </c>
      <c r="BE3" s="158"/>
      <c r="BF3" s="157" t="s">
        <v>9</v>
      </c>
      <c r="BG3" s="157"/>
      <c r="BH3" s="157"/>
      <c r="BI3" s="157"/>
      <c r="BJ3" s="157"/>
      <c r="BK3" s="157"/>
      <c r="BL3" s="157"/>
      <c r="BM3" s="157"/>
      <c r="BN3" s="157"/>
      <c r="BO3" s="157"/>
    </row>
    <row r="4" spans="1:67" ht="43.15" customHeight="1" x14ac:dyDescent="0.25">
      <c r="A4" s="172"/>
      <c r="B4" s="176" t="s">
        <v>157</v>
      </c>
      <c r="C4" s="9" t="s">
        <v>165</v>
      </c>
      <c r="D4" s="9" t="s">
        <v>166</v>
      </c>
      <c r="E4" s="9" t="s">
        <v>167</v>
      </c>
      <c r="F4" s="9" t="s">
        <v>168</v>
      </c>
      <c r="G4" s="9" t="s">
        <v>169</v>
      </c>
      <c r="H4" s="64" t="s">
        <v>374</v>
      </c>
      <c r="I4" s="10" t="s">
        <v>165</v>
      </c>
      <c r="J4" s="10" t="s">
        <v>166</v>
      </c>
      <c r="K4" s="10" t="s">
        <v>167</v>
      </c>
      <c r="L4" s="10" t="s">
        <v>168</v>
      </c>
      <c r="M4" s="10" t="s">
        <v>169</v>
      </c>
      <c r="N4" s="144" t="s">
        <v>374</v>
      </c>
      <c r="O4" s="143" t="s">
        <v>346</v>
      </c>
      <c r="P4" s="143" t="s">
        <v>12</v>
      </c>
      <c r="Q4" s="143" t="s">
        <v>165</v>
      </c>
      <c r="R4" s="143" t="s">
        <v>166</v>
      </c>
      <c r="S4" s="143" t="s">
        <v>167</v>
      </c>
      <c r="T4" s="143" t="s">
        <v>168</v>
      </c>
      <c r="U4" s="143" t="s">
        <v>169</v>
      </c>
      <c r="V4" s="143" t="s">
        <v>375</v>
      </c>
      <c r="W4" s="12" t="s">
        <v>13</v>
      </c>
      <c r="X4" s="12" t="s">
        <v>14</v>
      </c>
      <c r="Y4" s="12" t="s">
        <v>15</v>
      </c>
      <c r="Z4" s="165"/>
      <c r="AA4" s="166"/>
      <c r="AB4" s="63" t="s">
        <v>170</v>
      </c>
      <c r="AC4" s="63" t="s">
        <v>182</v>
      </c>
      <c r="AD4" s="63" t="s">
        <v>171</v>
      </c>
      <c r="AE4" s="63" t="s">
        <v>183</v>
      </c>
      <c r="AF4" s="63" t="s">
        <v>173</v>
      </c>
      <c r="AG4" s="63" t="s">
        <v>172</v>
      </c>
      <c r="AH4" s="63" t="s">
        <v>16</v>
      </c>
      <c r="AI4" s="64" t="s">
        <v>17</v>
      </c>
      <c r="AJ4" s="14" t="s">
        <v>170</v>
      </c>
      <c r="AK4" s="40" t="s">
        <v>182</v>
      </c>
      <c r="AL4" s="39" t="s">
        <v>171</v>
      </c>
      <c r="AM4" s="40" t="s">
        <v>183</v>
      </c>
      <c r="AN4" s="39" t="s">
        <v>173</v>
      </c>
      <c r="AO4" s="39" t="s">
        <v>172</v>
      </c>
      <c r="AP4" s="39" t="s">
        <v>16</v>
      </c>
      <c r="AQ4" s="39" t="s">
        <v>17</v>
      </c>
      <c r="AR4" s="41" t="s">
        <v>170</v>
      </c>
      <c r="AS4" s="17" t="s">
        <v>182</v>
      </c>
      <c r="AT4" s="41" t="s">
        <v>184</v>
      </c>
      <c r="AU4" s="17" t="s">
        <v>183</v>
      </c>
      <c r="AV4" s="41" t="s">
        <v>173</v>
      </c>
      <c r="AW4" s="41" t="s">
        <v>172</v>
      </c>
      <c r="AX4" s="17" t="s">
        <v>16</v>
      </c>
      <c r="AY4" s="87" t="s">
        <v>17</v>
      </c>
      <c r="AZ4" s="62" t="s">
        <v>18</v>
      </c>
      <c r="BA4" s="18" t="s">
        <v>19</v>
      </c>
      <c r="BB4" s="8" t="s">
        <v>20</v>
      </c>
      <c r="BC4" s="8" t="s">
        <v>21</v>
      </c>
      <c r="BD4" s="19" t="s">
        <v>22</v>
      </c>
      <c r="BE4" s="19" t="s">
        <v>23</v>
      </c>
      <c r="BF4" s="16" t="s">
        <v>24</v>
      </c>
      <c r="BG4" s="16" t="s">
        <v>25</v>
      </c>
      <c r="BH4" s="16" t="s">
        <v>26</v>
      </c>
      <c r="BI4" s="16" t="s">
        <v>27</v>
      </c>
      <c r="BJ4" s="16" t="s">
        <v>28</v>
      </c>
      <c r="BK4" s="16" t="s">
        <v>29</v>
      </c>
      <c r="BL4" s="16" t="s">
        <v>30</v>
      </c>
      <c r="BM4" s="16" t="s">
        <v>31</v>
      </c>
      <c r="BN4" s="16" t="s">
        <v>32</v>
      </c>
      <c r="BO4" s="16" t="s">
        <v>33</v>
      </c>
    </row>
    <row r="5" spans="1:67" ht="14.45" hidden="1" customHeight="1" x14ac:dyDescent="0.25">
      <c r="A5" s="88"/>
      <c r="B5" s="176"/>
      <c r="C5" s="9" t="s">
        <v>34</v>
      </c>
      <c r="D5" s="9" t="s">
        <v>35</v>
      </c>
      <c r="E5" s="9" t="s">
        <v>36</v>
      </c>
      <c r="F5" s="9" t="s">
        <v>37</v>
      </c>
      <c r="G5" s="9" t="s">
        <v>38</v>
      </c>
      <c r="H5" s="9"/>
      <c r="I5" s="10" t="s">
        <v>39</v>
      </c>
      <c r="J5" s="10" t="s">
        <v>40</v>
      </c>
      <c r="K5" s="10" t="s">
        <v>41</v>
      </c>
      <c r="L5" s="10" t="s">
        <v>42</v>
      </c>
      <c r="M5" s="10" t="s">
        <v>38</v>
      </c>
      <c r="N5" s="10"/>
      <c r="O5" s="67" t="s">
        <v>43</v>
      </c>
      <c r="P5" s="67" t="s">
        <v>44</v>
      </c>
      <c r="Q5" s="11" t="s">
        <v>38</v>
      </c>
      <c r="R5" s="11" t="s">
        <v>45</v>
      </c>
      <c r="S5" s="11" t="s">
        <v>38</v>
      </c>
      <c r="T5" s="11" t="s">
        <v>46</v>
      </c>
      <c r="U5" s="11"/>
      <c r="V5" s="11"/>
      <c r="W5" s="12" t="s">
        <v>47</v>
      </c>
      <c r="X5" s="12" t="s">
        <v>48</v>
      </c>
      <c r="Y5" s="12" t="s">
        <v>49</v>
      </c>
      <c r="Z5" s="12"/>
      <c r="AA5" s="55" t="s">
        <v>50</v>
      </c>
      <c r="AB5" s="13"/>
      <c r="AC5" s="15"/>
      <c r="AD5" s="13"/>
      <c r="AE5" s="21"/>
      <c r="AF5" s="13"/>
      <c r="AG5" s="13"/>
      <c r="AH5" s="21"/>
      <c r="AI5" s="21"/>
      <c r="AJ5" s="14"/>
      <c r="AK5" s="15"/>
      <c r="AL5" s="14"/>
      <c r="AM5" s="21"/>
      <c r="AN5" s="14"/>
      <c r="AO5" s="14"/>
      <c r="AP5" s="22"/>
      <c r="AQ5" s="22"/>
      <c r="AR5" s="16"/>
      <c r="AS5" s="15"/>
      <c r="AT5" s="16"/>
      <c r="AU5" s="21"/>
      <c r="AV5" s="16"/>
      <c r="AW5" s="16"/>
      <c r="AX5" s="21"/>
      <c r="AY5" s="20"/>
      <c r="AZ5" s="85"/>
      <c r="BA5" s="8"/>
      <c r="BB5" s="8"/>
      <c r="BC5" s="8"/>
      <c r="BD5" s="23" t="str">
        <f t="shared" ref="BD5" si="0">IF(BB5&gt;=10,"ETAPA 1: CALIBRAR TOPSIDE vs SEP. TESTE","")</f>
        <v/>
      </c>
      <c r="BE5" s="23" t="str">
        <f t="shared" ref="BE5" si="1">IF(AND(BB5&gt;=10,BB5&gt;=20),"ETAPA 2: CALIBRAR SUBSEA vs SEP. TESTE","")</f>
        <v/>
      </c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 x14ac:dyDescent="0.25">
      <c r="A6" s="89"/>
      <c r="B6" s="24"/>
      <c r="C6" s="57"/>
      <c r="D6" s="57"/>
      <c r="E6" s="57"/>
      <c r="F6" s="57"/>
      <c r="G6" s="57"/>
      <c r="H6" s="57"/>
      <c r="I6" s="58"/>
      <c r="J6" s="58"/>
      <c r="K6" s="58"/>
      <c r="L6" s="58"/>
      <c r="M6" s="58"/>
      <c r="N6" s="58"/>
      <c r="O6" s="68"/>
      <c r="P6" s="68"/>
      <c r="Q6" s="69"/>
      <c r="R6" s="69"/>
      <c r="S6" s="69"/>
      <c r="T6" s="69"/>
      <c r="U6" s="69"/>
      <c r="V6" s="70"/>
      <c r="W6" s="28"/>
      <c r="X6" s="28"/>
      <c r="Y6" s="28"/>
      <c r="Z6" s="28"/>
      <c r="AA6" s="29"/>
      <c r="AB6" s="72"/>
      <c r="AC6" s="80"/>
      <c r="AD6" s="72"/>
      <c r="AE6" s="81"/>
      <c r="AF6" s="71"/>
      <c r="AG6" s="71"/>
      <c r="AH6" s="72"/>
      <c r="AI6" s="72"/>
      <c r="AJ6" s="30"/>
      <c r="AK6" s="73"/>
      <c r="AL6" s="30"/>
      <c r="AM6" s="73"/>
      <c r="AN6" s="31"/>
      <c r="AO6" s="31"/>
      <c r="AP6" s="32"/>
      <c r="AQ6" s="32"/>
      <c r="AR6" s="33"/>
      <c r="AS6" s="74"/>
      <c r="AT6" s="33"/>
      <c r="AU6" s="75"/>
      <c r="AV6" s="34"/>
      <c r="AW6" s="34"/>
      <c r="AX6" s="33"/>
      <c r="AY6" s="90"/>
      <c r="AZ6" s="86"/>
      <c r="BA6" s="35"/>
      <c r="BB6" s="36"/>
      <c r="BC6" s="36"/>
      <c r="BD6" s="36"/>
      <c r="BE6" s="36"/>
      <c r="BF6" s="37"/>
      <c r="BG6" s="37"/>
      <c r="BH6" s="37"/>
      <c r="BI6" s="37"/>
      <c r="BJ6" s="37"/>
      <c r="BK6" s="37"/>
      <c r="BL6" s="37"/>
      <c r="BM6" s="37"/>
      <c r="BN6" s="37"/>
      <c r="BO6" s="37"/>
    </row>
    <row r="7" spans="1:67" x14ac:dyDescent="0.25">
      <c r="A7" s="89"/>
      <c r="B7" s="24"/>
      <c r="C7" s="57"/>
      <c r="D7" s="57"/>
      <c r="E7" s="57"/>
      <c r="F7" s="57"/>
      <c r="G7" s="57"/>
      <c r="H7" s="57"/>
      <c r="I7" s="58"/>
      <c r="J7" s="58"/>
      <c r="K7" s="58"/>
      <c r="L7" s="58"/>
      <c r="M7" s="58"/>
      <c r="N7" s="58"/>
      <c r="O7" s="68"/>
      <c r="P7" s="68"/>
      <c r="Q7" s="69"/>
      <c r="R7" s="69"/>
      <c r="S7" s="69"/>
      <c r="T7" s="69"/>
      <c r="U7" s="69"/>
      <c r="V7" s="70"/>
      <c r="W7" s="28"/>
      <c r="X7" s="28"/>
      <c r="Y7" s="28"/>
      <c r="Z7" s="28"/>
      <c r="AA7" s="29"/>
      <c r="AB7" s="72"/>
      <c r="AC7" s="80"/>
      <c r="AD7" s="72"/>
      <c r="AE7" s="81"/>
      <c r="AF7" s="71"/>
      <c r="AG7" s="71"/>
      <c r="AH7" s="72"/>
      <c r="AI7" s="72"/>
      <c r="AJ7" s="30"/>
      <c r="AK7" s="73"/>
      <c r="AL7" s="30"/>
      <c r="AM7" s="73"/>
      <c r="AN7" s="31"/>
      <c r="AO7" s="31"/>
      <c r="AP7" s="32"/>
      <c r="AQ7" s="32"/>
      <c r="AR7" s="33"/>
      <c r="AS7" s="74"/>
      <c r="AT7" s="33"/>
      <c r="AU7" s="75"/>
      <c r="AV7" s="34"/>
      <c r="AW7" s="34"/>
      <c r="AX7" s="33"/>
      <c r="AY7" s="90"/>
      <c r="AZ7" s="86"/>
      <c r="BA7" s="35"/>
      <c r="BB7" s="36"/>
      <c r="BC7" s="36"/>
      <c r="BD7" s="36"/>
      <c r="BE7" s="36"/>
      <c r="BF7" s="37"/>
      <c r="BG7" s="37"/>
      <c r="BH7" s="37"/>
      <c r="BI7" s="37"/>
      <c r="BJ7" s="37"/>
      <c r="BK7" s="37"/>
      <c r="BL7" s="37"/>
      <c r="BM7" s="37"/>
      <c r="BN7" s="37"/>
      <c r="BO7" s="37"/>
    </row>
    <row r="8" spans="1:67" x14ac:dyDescent="0.25">
      <c r="A8" s="89"/>
      <c r="B8" s="24"/>
      <c r="C8" s="57"/>
      <c r="D8" s="57"/>
      <c r="E8" s="57"/>
      <c r="F8" s="57"/>
      <c r="G8" s="57"/>
      <c r="H8" s="57"/>
      <c r="I8" s="58"/>
      <c r="J8" s="58"/>
      <c r="K8" s="58"/>
      <c r="L8" s="58"/>
      <c r="M8" s="58"/>
      <c r="N8" s="58"/>
      <c r="O8" s="68"/>
      <c r="P8" s="68"/>
      <c r="Q8" s="69"/>
      <c r="R8" s="69"/>
      <c r="S8" s="69"/>
      <c r="T8" s="69"/>
      <c r="U8" s="69"/>
      <c r="V8" s="70"/>
      <c r="W8" s="28"/>
      <c r="X8" s="28"/>
      <c r="Y8" s="28"/>
      <c r="Z8" s="28"/>
      <c r="AA8" s="29"/>
      <c r="AB8" s="72"/>
      <c r="AC8" s="80"/>
      <c r="AD8" s="72"/>
      <c r="AE8" s="81"/>
      <c r="AF8" s="71"/>
      <c r="AG8" s="71"/>
      <c r="AH8" s="72"/>
      <c r="AI8" s="72"/>
      <c r="AJ8" s="30"/>
      <c r="AK8" s="73"/>
      <c r="AL8" s="30"/>
      <c r="AM8" s="73"/>
      <c r="AN8" s="31"/>
      <c r="AO8" s="31"/>
      <c r="AP8" s="32"/>
      <c r="AQ8" s="32"/>
      <c r="AR8" s="33"/>
      <c r="AS8" s="74"/>
      <c r="AT8" s="33"/>
      <c r="AU8" s="75"/>
      <c r="AV8" s="34"/>
      <c r="AW8" s="34"/>
      <c r="AX8" s="33"/>
      <c r="AY8" s="90"/>
      <c r="AZ8" s="86"/>
      <c r="BA8" s="35"/>
      <c r="BB8" s="36"/>
      <c r="BC8" s="36"/>
      <c r="BD8" s="36"/>
      <c r="BE8" s="36"/>
      <c r="BF8" s="37"/>
      <c r="BG8" s="37"/>
      <c r="BH8" s="37"/>
      <c r="BI8" s="37"/>
      <c r="BJ8" s="37"/>
      <c r="BK8" s="37"/>
      <c r="BL8" s="37"/>
      <c r="BM8" s="37"/>
      <c r="BN8" s="37"/>
      <c r="BO8" s="37"/>
    </row>
    <row r="9" spans="1:67" x14ac:dyDescent="0.25">
      <c r="A9" s="89"/>
      <c r="B9" s="24"/>
      <c r="C9" s="57"/>
      <c r="D9" s="57"/>
      <c r="E9" s="57"/>
      <c r="F9" s="57"/>
      <c r="G9" s="57"/>
      <c r="H9" s="57"/>
      <c r="I9" s="58"/>
      <c r="J9" s="58"/>
      <c r="K9" s="58"/>
      <c r="L9" s="58"/>
      <c r="M9" s="58"/>
      <c r="N9" s="58"/>
      <c r="O9" s="68"/>
      <c r="P9" s="68"/>
      <c r="Q9" s="69"/>
      <c r="R9" s="69"/>
      <c r="S9" s="69"/>
      <c r="T9" s="69"/>
      <c r="U9" s="69"/>
      <c r="V9" s="70"/>
      <c r="W9" s="28"/>
      <c r="X9" s="28"/>
      <c r="Y9" s="28"/>
      <c r="Z9" s="28"/>
      <c r="AA9" s="29"/>
      <c r="AB9" s="72"/>
      <c r="AC9" s="80"/>
      <c r="AD9" s="72"/>
      <c r="AE9" s="81"/>
      <c r="AF9" s="71"/>
      <c r="AG9" s="71"/>
      <c r="AH9" s="72"/>
      <c r="AI9" s="72"/>
      <c r="AJ9" s="30"/>
      <c r="AK9" s="73"/>
      <c r="AL9" s="30"/>
      <c r="AM9" s="73"/>
      <c r="AN9" s="31"/>
      <c r="AO9" s="31"/>
      <c r="AP9" s="32"/>
      <c r="AQ9" s="32"/>
      <c r="AR9" s="33"/>
      <c r="AS9" s="74"/>
      <c r="AT9" s="33"/>
      <c r="AU9" s="75"/>
      <c r="AV9" s="34"/>
      <c r="AW9" s="34"/>
      <c r="AX9" s="33"/>
      <c r="AY9" s="90"/>
      <c r="AZ9" s="86"/>
      <c r="BA9" s="35"/>
      <c r="BB9" s="36"/>
      <c r="BC9" s="36"/>
      <c r="BD9" s="36"/>
      <c r="BE9" s="36"/>
      <c r="BF9" s="37"/>
      <c r="BG9" s="37"/>
      <c r="BH9" s="37"/>
      <c r="BI9" s="37"/>
      <c r="BJ9" s="37"/>
      <c r="BK9" s="37"/>
      <c r="BL9" s="37"/>
      <c r="BM9" s="37"/>
      <c r="BN9" s="37"/>
      <c r="BO9" s="37"/>
    </row>
    <row r="10" spans="1:67" x14ac:dyDescent="0.25">
      <c r="A10" s="89"/>
      <c r="B10" s="24"/>
      <c r="C10" s="57"/>
      <c r="D10" s="57"/>
      <c r="E10" s="57"/>
      <c r="F10" s="57"/>
      <c r="G10" s="57"/>
      <c r="H10" s="57"/>
      <c r="I10" s="58"/>
      <c r="J10" s="58"/>
      <c r="K10" s="58"/>
      <c r="L10" s="58"/>
      <c r="M10" s="58"/>
      <c r="N10" s="58"/>
      <c r="O10" s="68"/>
      <c r="P10" s="68"/>
      <c r="Q10" s="69"/>
      <c r="R10" s="69"/>
      <c r="S10" s="69"/>
      <c r="T10" s="69"/>
      <c r="U10" s="69"/>
      <c r="V10" s="70"/>
      <c r="W10" s="28"/>
      <c r="X10" s="28"/>
      <c r="Y10" s="28"/>
      <c r="Z10" s="28"/>
      <c r="AA10" s="29"/>
      <c r="AB10" s="72"/>
      <c r="AC10" s="80"/>
      <c r="AD10" s="72"/>
      <c r="AE10" s="81"/>
      <c r="AF10" s="71"/>
      <c r="AG10" s="71"/>
      <c r="AH10" s="72"/>
      <c r="AI10" s="72"/>
      <c r="AJ10" s="30"/>
      <c r="AK10" s="73"/>
      <c r="AL10" s="30"/>
      <c r="AM10" s="73"/>
      <c r="AN10" s="31"/>
      <c r="AO10" s="31"/>
      <c r="AP10" s="32"/>
      <c r="AQ10" s="32"/>
      <c r="AR10" s="33"/>
      <c r="AS10" s="74"/>
      <c r="AT10" s="33"/>
      <c r="AU10" s="75"/>
      <c r="AV10" s="34"/>
      <c r="AW10" s="34"/>
      <c r="AX10" s="33"/>
      <c r="AY10" s="90"/>
      <c r="AZ10" s="86"/>
      <c r="BA10" s="35"/>
      <c r="BB10" s="36"/>
      <c r="BC10" s="36"/>
      <c r="BD10" s="36"/>
      <c r="BE10" s="36"/>
      <c r="BF10" s="37"/>
      <c r="BG10" s="37"/>
      <c r="BH10" s="37"/>
      <c r="BI10" s="37"/>
      <c r="BJ10" s="37"/>
      <c r="BK10" s="37"/>
      <c r="BL10" s="37"/>
      <c r="BM10" s="37"/>
      <c r="BN10" s="37"/>
      <c r="BO10" s="37"/>
    </row>
    <row r="11" spans="1:67" x14ac:dyDescent="0.25">
      <c r="A11" s="89"/>
      <c r="B11" s="24"/>
      <c r="C11" s="57"/>
      <c r="D11" s="57"/>
      <c r="E11" s="57"/>
      <c r="F11" s="57"/>
      <c r="G11" s="57"/>
      <c r="H11" s="57"/>
      <c r="I11" s="58"/>
      <c r="J11" s="58"/>
      <c r="K11" s="58"/>
      <c r="L11" s="58"/>
      <c r="M11" s="58"/>
      <c r="N11" s="58"/>
      <c r="O11" s="68"/>
      <c r="P11" s="68"/>
      <c r="Q11" s="69"/>
      <c r="R11" s="69"/>
      <c r="S11" s="69"/>
      <c r="T11" s="69"/>
      <c r="U11" s="69"/>
      <c r="V11" s="70"/>
      <c r="W11" s="28"/>
      <c r="X11" s="28"/>
      <c r="Y11" s="28"/>
      <c r="Z11" s="28"/>
      <c r="AA11" s="29"/>
      <c r="AB11" s="72"/>
      <c r="AC11" s="80"/>
      <c r="AD11" s="72"/>
      <c r="AE11" s="81"/>
      <c r="AF11" s="71"/>
      <c r="AG11" s="71"/>
      <c r="AH11" s="72"/>
      <c r="AI11" s="72"/>
      <c r="AJ11" s="30"/>
      <c r="AK11" s="73"/>
      <c r="AL11" s="30"/>
      <c r="AM11" s="73"/>
      <c r="AN11" s="31"/>
      <c r="AO11" s="31"/>
      <c r="AP11" s="32"/>
      <c r="AQ11" s="32"/>
      <c r="AR11" s="33"/>
      <c r="AS11" s="74"/>
      <c r="AT11" s="33"/>
      <c r="AU11" s="75"/>
      <c r="AV11" s="34"/>
      <c r="AW11" s="34"/>
      <c r="AX11" s="33"/>
      <c r="AY11" s="90"/>
      <c r="AZ11" s="86"/>
      <c r="BA11" s="35"/>
      <c r="BB11" s="36"/>
      <c r="BC11" s="36"/>
      <c r="BD11" s="36"/>
      <c r="BE11" s="36"/>
      <c r="BF11" s="37"/>
      <c r="BG11" s="37"/>
      <c r="BH11" s="37"/>
      <c r="BI11" s="37"/>
      <c r="BJ11" s="37"/>
      <c r="BK11" s="37"/>
      <c r="BL11" s="37"/>
      <c r="BM11" s="37"/>
      <c r="BN11" s="37"/>
      <c r="BO11" s="37"/>
    </row>
    <row r="12" spans="1:67" x14ac:dyDescent="0.25">
      <c r="A12" s="89"/>
      <c r="B12" s="24"/>
      <c r="C12" s="57"/>
      <c r="D12" s="57"/>
      <c r="E12" s="57"/>
      <c r="F12" s="57"/>
      <c r="G12" s="57"/>
      <c r="H12" s="57"/>
      <c r="I12" s="58"/>
      <c r="J12" s="58"/>
      <c r="K12" s="58"/>
      <c r="L12" s="58"/>
      <c r="M12" s="58"/>
      <c r="N12" s="58"/>
      <c r="O12" s="68"/>
      <c r="P12" s="68"/>
      <c r="Q12" s="69"/>
      <c r="R12" s="69"/>
      <c r="S12" s="69"/>
      <c r="T12" s="69"/>
      <c r="U12" s="69"/>
      <c r="V12" s="70"/>
      <c r="W12" s="28"/>
      <c r="X12" s="28"/>
      <c r="Y12" s="28"/>
      <c r="Z12" s="28"/>
      <c r="AA12" s="29"/>
      <c r="AB12" s="72"/>
      <c r="AC12" s="80"/>
      <c r="AD12" s="72"/>
      <c r="AE12" s="81"/>
      <c r="AF12" s="71"/>
      <c r="AG12" s="71"/>
      <c r="AH12" s="72"/>
      <c r="AI12" s="72"/>
      <c r="AJ12" s="30"/>
      <c r="AK12" s="73"/>
      <c r="AL12" s="30"/>
      <c r="AM12" s="73"/>
      <c r="AN12" s="31"/>
      <c r="AO12" s="31"/>
      <c r="AP12" s="32"/>
      <c r="AQ12" s="32"/>
      <c r="AR12" s="33"/>
      <c r="AS12" s="74"/>
      <c r="AT12" s="33"/>
      <c r="AU12" s="75"/>
      <c r="AV12" s="34"/>
      <c r="AW12" s="34"/>
      <c r="AX12" s="33"/>
      <c r="AY12" s="90"/>
      <c r="AZ12" s="86"/>
      <c r="BA12" s="35"/>
      <c r="BB12" s="36"/>
      <c r="BC12" s="36"/>
      <c r="BD12" s="36"/>
      <c r="BE12" s="36"/>
      <c r="BF12" s="37"/>
      <c r="BG12" s="37"/>
      <c r="BH12" s="37"/>
      <c r="BI12" s="37"/>
      <c r="BJ12" s="37"/>
      <c r="BK12" s="37"/>
      <c r="BL12" s="37"/>
      <c r="BM12" s="37"/>
      <c r="BN12" s="37"/>
      <c r="BO12" s="37"/>
    </row>
    <row r="13" spans="1:67" x14ac:dyDescent="0.25">
      <c r="A13" s="89"/>
      <c r="B13" s="24"/>
      <c r="C13" s="57"/>
      <c r="D13" s="57"/>
      <c r="E13" s="57"/>
      <c r="F13" s="57"/>
      <c r="G13" s="57"/>
      <c r="H13" s="57"/>
      <c r="I13" s="58"/>
      <c r="J13" s="58"/>
      <c r="K13" s="58"/>
      <c r="L13" s="58"/>
      <c r="M13" s="58"/>
      <c r="N13" s="58"/>
      <c r="O13" s="68"/>
      <c r="P13" s="68"/>
      <c r="Q13" s="69"/>
      <c r="R13" s="69"/>
      <c r="S13" s="69"/>
      <c r="T13" s="69"/>
      <c r="U13" s="69"/>
      <c r="V13" s="70"/>
      <c r="W13" s="28"/>
      <c r="X13" s="28"/>
      <c r="Y13" s="28"/>
      <c r="Z13" s="28"/>
      <c r="AA13" s="29"/>
      <c r="AB13" s="72"/>
      <c r="AC13" s="80"/>
      <c r="AD13" s="72"/>
      <c r="AE13" s="81"/>
      <c r="AF13" s="71"/>
      <c r="AG13" s="71"/>
      <c r="AH13" s="72"/>
      <c r="AI13" s="72"/>
      <c r="AJ13" s="30"/>
      <c r="AK13" s="73"/>
      <c r="AL13" s="30"/>
      <c r="AM13" s="73"/>
      <c r="AN13" s="31"/>
      <c r="AO13" s="31"/>
      <c r="AP13" s="32"/>
      <c r="AQ13" s="32"/>
      <c r="AR13" s="33"/>
      <c r="AS13" s="74"/>
      <c r="AT13" s="33"/>
      <c r="AU13" s="75"/>
      <c r="AV13" s="34"/>
      <c r="AW13" s="34"/>
      <c r="AX13" s="33"/>
      <c r="AY13" s="90"/>
      <c r="AZ13" s="86"/>
      <c r="BA13" s="35"/>
      <c r="BB13" s="36"/>
      <c r="BC13" s="36"/>
      <c r="BD13" s="36"/>
      <c r="BE13" s="36"/>
      <c r="BF13" s="37"/>
      <c r="BG13" s="37"/>
      <c r="BH13" s="37"/>
      <c r="BI13" s="37"/>
      <c r="BJ13" s="37"/>
      <c r="BK13" s="37"/>
      <c r="BL13" s="37"/>
      <c r="BM13" s="37"/>
      <c r="BN13" s="37"/>
      <c r="BO13" s="37"/>
    </row>
    <row r="14" spans="1:67" x14ac:dyDescent="0.25">
      <c r="A14" s="89"/>
      <c r="B14" s="24"/>
      <c r="C14" s="57"/>
      <c r="D14" s="57"/>
      <c r="E14" s="57"/>
      <c r="F14" s="57"/>
      <c r="G14" s="57"/>
      <c r="H14" s="57"/>
      <c r="I14" s="58"/>
      <c r="J14" s="58"/>
      <c r="K14" s="58"/>
      <c r="L14" s="58"/>
      <c r="M14" s="58"/>
      <c r="N14" s="58"/>
      <c r="O14" s="68"/>
      <c r="P14" s="68"/>
      <c r="Q14" s="69"/>
      <c r="R14" s="69"/>
      <c r="S14" s="69"/>
      <c r="T14" s="69"/>
      <c r="U14" s="69"/>
      <c r="V14" s="70"/>
      <c r="W14" s="28"/>
      <c r="X14" s="28"/>
      <c r="Y14" s="28"/>
      <c r="Z14" s="28"/>
      <c r="AA14" s="29"/>
      <c r="AB14" s="72"/>
      <c r="AC14" s="80"/>
      <c r="AD14" s="72"/>
      <c r="AE14" s="81"/>
      <c r="AF14" s="71"/>
      <c r="AG14" s="71"/>
      <c r="AH14" s="72"/>
      <c r="AI14" s="72"/>
      <c r="AJ14" s="30"/>
      <c r="AK14" s="73"/>
      <c r="AL14" s="30"/>
      <c r="AM14" s="73"/>
      <c r="AN14" s="31"/>
      <c r="AO14" s="31"/>
      <c r="AP14" s="32"/>
      <c r="AQ14" s="32"/>
      <c r="AR14" s="33"/>
      <c r="AS14" s="74"/>
      <c r="AT14" s="33"/>
      <c r="AU14" s="75"/>
      <c r="AV14" s="34"/>
      <c r="AW14" s="34"/>
      <c r="AX14" s="33"/>
      <c r="AY14" s="90"/>
      <c r="AZ14" s="86"/>
      <c r="BA14" s="35"/>
      <c r="BB14" s="36"/>
      <c r="BC14" s="36"/>
      <c r="BD14" s="36"/>
      <c r="BE14" s="36"/>
      <c r="BF14" s="37"/>
      <c r="BG14" s="37"/>
      <c r="BH14" s="37"/>
      <c r="BI14" s="37"/>
      <c r="BJ14" s="37"/>
      <c r="BK14" s="37"/>
      <c r="BL14" s="37"/>
      <c r="BM14" s="37"/>
      <c r="BN14" s="37"/>
      <c r="BO14" s="37"/>
    </row>
    <row r="15" spans="1:67" x14ac:dyDescent="0.25">
      <c r="A15" s="89"/>
      <c r="B15" s="24"/>
      <c r="C15" s="57"/>
      <c r="D15" s="57"/>
      <c r="E15" s="57"/>
      <c r="F15" s="57"/>
      <c r="G15" s="57"/>
      <c r="H15" s="57"/>
      <c r="I15" s="58"/>
      <c r="J15" s="58"/>
      <c r="K15" s="58"/>
      <c r="L15" s="58"/>
      <c r="M15" s="58"/>
      <c r="N15" s="58"/>
      <c r="O15" s="68"/>
      <c r="P15" s="68"/>
      <c r="Q15" s="69"/>
      <c r="R15" s="69"/>
      <c r="S15" s="69"/>
      <c r="T15" s="69"/>
      <c r="U15" s="69"/>
      <c r="V15" s="70"/>
      <c r="W15" s="28"/>
      <c r="X15" s="28"/>
      <c r="Y15" s="28"/>
      <c r="Z15" s="28"/>
      <c r="AA15" s="29"/>
      <c r="AB15" s="72"/>
      <c r="AC15" s="80"/>
      <c r="AD15" s="72"/>
      <c r="AE15" s="81"/>
      <c r="AF15" s="71"/>
      <c r="AG15" s="71"/>
      <c r="AH15" s="72"/>
      <c r="AI15" s="72"/>
      <c r="AJ15" s="30"/>
      <c r="AK15" s="73"/>
      <c r="AL15" s="30"/>
      <c r="AM15" s="73"/>
      <c r="AN15" s="31"/>
      <c r="AO15" s="31"/>
      <c r="AP15" s="32"/>
      <c r="AQ15" s="32"/>
      <c r="AR15" s="33"/>
      <c r="AS15" s="74"/>
      <c r="AT15" s="33"/>
      <c r="AU15" s="75"/>
      <c r="AV15" s="34"/>
      <c r="AW15" s="34"/>
      <c r="AX15" s="33"/>
      <c r="AY15" s="90"/>
      <c r="AZ15" s="86"/>
      <c r="BA15" s="35"/>
      <c r="BB15" s="36"/>
      <c r="BC15" s="36"/>
      <c r="BD15" s="36"/>
      <c r="BE15" s="36"/>
      <c r="BF15" s="37"/>
      <c r="BG15" s="37"/>
      <c r="BH15" s="37"/>
      <c r="BI15" s="37"/>
      <c r="BJ15" s="37"/>
      <c r="BK15" s="37"/>
      <c r="BL15" s="37"/>
      <c r="BM15" s="37"/>
      <c r="BN15" s="37"/>
      <c r="BO15" s="37"/>
    </row>
    <row r="16" spans="1:67" x14ac:dyDescent="0.25">
      <c r="A16" s="89"/>
      <c r="B16" s="24"/>
      <c r="C16" s="57"/>
      <c r="D16" s="57"/>
      <c r="E16" s="57"/>
      <c r="F16" s="57"/>
      <c r="G16" s="57"/>
      <c r="H16" s="57"/>
      <c r="I16" s="58"/>
      <c r="J16" s="58"/>
      <c r="K16" s="58"/>
      <c r="L16" s="58"/>
      <c r="M16" s="58"/>
      <c r="N16" s="58"/>
      <c r="O16" s="68"/>
      <c r="P16" s="68"/>
      <c r="Q16" s="69"/>
      <c r="R16" s="69"/>
      <c r="S16" s="69"/>
      <c r="T16" s="69"/>
      <c r="U16" s="69"/>
      <c r="V16" s="70"/>
      <c r="W16" s="28"/>
      <c r="X16" s="28"/>
      <c r="Y16" s="28"/>
      <c r="Z16" s="28"/>
      <c r="AA16" s="29"/>
      <c r="AB16" s="72"/>
      <c r="AC16" s="80"/>
      <c r="AD16" s="72"/>
      <c r="AE16" s="81"/>
      <c r="AF16" s="71"/>
      <c r="AG16" s="71"/>
      <c r="AH16" s="72"/>
      <c r="AI16" s="72"/>
      <c r="AJ16" s="30"/>
      <c r="AK16" s="73"/>
      <c r="AL16" s="30"/>
      <c r="AM16" s="73"/>
      <c r="AN16" s="31"/>
      <c r="AO16" s="31"/>
      <c r="AP16" s="32"/>
      <c r="AQ16" s="32"/>
      <c r="AR16" s="33"/>
      <c r="AS16" s="74"/>
      <c r="AT16" s="33"/>
      <c r="AU16" s="75"/>
      <c r="AV16" s="34"/>
      <c r="AW16" s="34"/>
      <c r="AX16" s="33"/>
      <c r="AY16" s="90"/>
      <c r="AZ16" s="86"/>
      <c r="BA16" s="35"/>
      <c r="BB16" s="36"/>
      <c r="BC16" s="36"/>
      <c r="BD16" s="36"/>
      <c r="BE16" s="36"/>
      <c r="BF16" s="37"/>
      <c r="BG16" s="37"/>
      <c r="BH16" s="37"/>
      <c r="BI16" s="37"/>
      <c r="BJ16" s="37"/>
      <c r="BK16" s="37"/>
      <c r="BL16" s="37"/>
      <c r="BM16" s="37"/>
      <c r="BN16" s="37"/>
      <c r="BO16" s="37"/>
    </row>
    <row r="17" spans="1:67" x14ac:dyDescent="0.25">
      <c r="A17" s="89"/>
      <c r="B17" s="24"/>
      <c r="C17" s="57"/>
      <c r="D17" s="57"/>
      <c r="E17" s="57"/>
      <c r="F17" s="57"/>
      <c r="G17" s="57"/>
      <c r="H17" s="57"/>
      <c r="I17" s="58"/>
      <c r="J17" s="58"/>
      <c r="K17" s="58"/>
      <c r="L17" s="58"/>
      <c r="M17" s="58"/>
      <c r="N17" s="58"/>
      <c r="O17" s="68"/>
      <c r="P17" s="68"/>
      <c r="Q17" s="69"/>
      <c r="R17" s="69"/>
      <c r="S17" s="69"/>
      <c r="T17" s="69"/>
      <c r="U17" s="69"/>
      <c r="V17" s="70"/>
      <c r="W17" s="28"/>
      <c r="X17" s="28"/>
      <c r="Y17" s="28"/>
      <c r="Z17" s="28"/>
      <c r="AA17" s="29"/>
      <c r="AB17" s="72"/>
      <c r="AC17" s="80"/>
      <c r="AD17" s="72"/>
      <c r="AE17" s="81"/>
      <c r="AF17" s="71"/>
      <c r="AG17" s="71"/>
      <c r="AH17" s="72"/>
      <c r="AI17" s="72"/>
      <c r="AJ17" s="30"/>
      <c r="AK17" s="73"/>
      <c r="AL17" s="30"/>
      <c r="AM17" s="73"/>
      <c r="AN17" s="31"/>
      <c r="AO17" s="31"/>
      <c r="AP17" s="32"/>
      <c r="AQ17" s="32"/>
      <c r="AR17" s="33"/>
      <c r="AS17" s="74"/>
      <c r="AT17" s="33"/>
      <c r="AU17" s="75"/>
      <c r="AV17" s="34"/>
      <c r="AW17" s="34"/>
      <c r="AX17" s="33"/>
      <c r="AY17" s="90"/>
      <c r="AZ17" s="86"/>
      <c r="BA17" s="35"/>
      <c r="BB17" s="36"/>
      <c r="BC17" s="36"/>
      <c r="BD17" s="36"/>
      <c r="BE17" s="36"/>
      <c r="BF17" s="37"/>
      <c r="BG17" s="37"/>
      <c r="BH17" s="37"/>
      <c r="BI17" s="37"/>
      <c r="BJ17" s="37"/>
      <c r="BK17" s="37"/>
      <c r="BL17" s="37"/>
      <c r="BM17" s="37"/>
      <c r="BN17" s="37"/>
      <c r="BO17" s="37"/>
    </row>
    <row r="18" spans="1:67" x14ac:dyDescent="0.25">
      <c r="A18" s="89"/>
      <c r="B18" s="24"/>
      <c r="C18" s="57"/>
      <c r="D18" s="57"/>
      <c r="E18" s="57"/>
      <c r="F18" s="57"/>
      <c r="G18" s="57"/>
      <c r="H18" s="57"/>
      <c r="I18" s="58"/>
      <c r="J18" s="58"/>
      <c r="K18" s="58"/>
      <c r="L18" s="58"/>
      <c r="M18" s="58"/>
      <c r="N18" s="58"/>
      <c r="O18" s="68"/>
      <c r="P18" s="68"/>
      <c r="Q18" s="69"/>
      <c r="R18" s="69"/>
      <c r="S18" s="69"/>
      <c r="T18" s="69"/>
      <c r="U18" s="69"/>
      <c r="V18" s="70"/>
      <c r="W18" s="28"/>
      <c r="X18" s="28"/>
      <c r="Y18" s="28"/>
      <c r="Z18" s="28"/>
      <c r="AA18" s="29"/>
      <c r="AB18" s="72"/>
      <c r="AC18" s="80"/>
      <c r="AD18" s="72"/>
      <c r="AE18" s="81"/>
      <c r="AF18" s="71"/>
      <c r="AG18" s="71"/>
      <c r="AH18" s="72"/>
      <c r="AI18" s="72"/>
      <c r="AJ18" s="30"/>
      <c r="AK18" s="73"/>
      <c r="AL18" s="30"/>
      <c r="AM18" s="73"/>
      <c r="AN18" s="31"/>
      <c r="AO18" s="31"/>
      <c r="AP18" s="32"/>
      <c r="AQ18" s="32"/>
      <c r="AR18" s="33"/>
      <c r="AS18" s="74"/>
      <c r="AT18" s="33"/>
      <c r="AU18" s="75"/>
      <c r="AV18" s="34"/>
      <c r="AW18" s="34"/>
      <c r="AX18" s="33"/>
      <c r="AY18" s="90"/>
      <c r="AZ18" s="86"/>
      <c r="BA18" s="35"/>
      <c r="BB18" s="36"/>
      <c r="BC18" s="36"/>
      <c r="BD18" s="36"/>
      <c r="BE18" s="36"/>
      <c r="BF18" s="37"/>
      <c r="BG18" s="37"/>
      <c r="BH18" s="37"/>
      <c r="BI18" s="37"/>
      <c r="BJ18" s="37"/>
      <c r="BK18" s="37"/>
      <c r="BL18" s="37"/>
      <c r="BM18" s="37"/>
      <c r="BN18" s="37"/>
      <c r="BO18" s="37"/>
    </row>
    <row r="19" spans="1:67" x14ac:dyDescent="0.25">
      <c r="A19" s="89"/>
      <c r="B19" s="24"/>
      <c r="C19" s="57"/>
      <c r="D19" s="57"/>
      <c r="E19" s="57"/>
      <c r="F19" s="57"/>
      <c r="G19" s="57"/>
      <c r="H19" s="57"/>
      <c r="I19" s="58"/>
      <c r="J19" s="58"/>
      <c r="K19" s="58"/>
      <c r="L19" s="58"/>
      <c r="M19" s="58"/>
      <c r="N19" s="58"/>
      <c r="O19" s="68"/>
      <c r="P19" s="68"/>
      <c r="Q19" s="69"/>
      <c r="R19" s="69"/>
      <c r="S19" s="69"/>
      <c r="T19" s="69"/>
      <c r="U19" s="69"/>
      <c r="V19" s="70"/>
      <c r="W19" s="28"/>
      <c r="X19" s="28"/>
      <c r="Y19" s="28"/>
      <c r="Z19" s="28"/>
      <c r="AA19" s="29"/>
      <c r="AB19" s="72"/>
      <c r="AC19" s="80"/>
      <c r="AD19" s="72"/>
      <c r="AE19" s="81"/>
      <c r="AF19" s="71"/>
      <c r="AG19" s="71"/>
      <c r="AH19" s="72"/>
      <c r="AI19" s="72"/>
      <c r="AJ19" s="30"/>
      <c r="AK19" s="73"/>
      <c r="AL19" s="30"/>
      <c r="AM19" s="73"/>
      <c r="AN19" s="31"/>
      <c r="AO19" s="31"/>
      <c r="AP19" s="32"/>
      <c r="AQ19" s="32"/>
      <c r="AR19" s="33"/>
      <c r="AS19" s="74"/>
      <c r="AT19" s="33"/>
      <c r="AU19" s="75"/>
      <c r="AV19" s="34"/>
      <c r="AW19" s="34"/>
      <c r="AX19" s="33"/>
      <c r="AY19" s="90"/>
      <c r="AZ19" s="86"/>
      <c r="BA19" s="35"/>
      <c r="BB19" s="36"/>
      <c r="BC19" s="36"/>
      <c r="BD19" s="36"/>
      <c r="BE19" s="36"/>
      <c r="BF19" s="37"/>
      <c r="BG19" s="37"/>
      <c r="BH19" s="37"/>
      <c r="BI19" s="37"/>
      <c r="BJ19" s="37"/>
      <c r="BK19" s="37"/>
      <c r="BL19" s="37"/>
      <c r="BM19" s="37"/>
      <c r="BN19" s="37"/>
      <c r="BO19" s="37"/>
    </row>
    <row r="20" spans="1:67" x14ac:dyDescent="0.25">
      <c r="A20" s="89"/>
      <c r="B20" s="24"/>
      <c r="C20" s="57"/>
      <c r="D20" s="57"/>
      <c r="E20" s="57"/>
      <c r="F20" s="57"/>
      <c r="G20" s="57"/>
      <c r="H20" s="57"/>
      <c r="I20" s="58"/>
      <c r="J20" s="58"/>
      <c r="K20" s="58"/>
      <c r="L20" s="58"/>
      <c r="M20" s="58"/>
      <c r="N20" s="58"/>
      <c r="O20" s="68"/>
      <c r="P20" s="68"/>
      <c r="Q20" s="69"/>
      <c r="R20" s="69"/>
      <c r="S20" s="69"/>
      <c r="T20" s="69"/>
      <c r="U20" s="69"/>
      <c r="V20" s="70"/>
      <c r="W20" s="28"/>
      <c r="X20" s="28"/>
      <c r="Y20" s="28"/>
      <c r="Z20" s="28"/>
      <c r="AA20" s="29"/>
      <c r="AB20" s="72"/>
      <c r="AC20" s="80"/>
      <c r="AD20" s="72"/>
      <c r="AE20" s="81"/>
      <c r="AF20" s="71"/>
      <c r="AG20" s="71"/>
      <c r="AH20" s="72"/>
      <c r="AI20" s="72"/>
      <c r="AJ20" s="30"/>
      <c r="AK20" s="73"/>
      <c r="AL20" s="30"/>
      <c r="AM20" s="73"/>
      <c r="AN20" s="31"/>
      <c r="AO20" s="31"/>
      <c r="AP20" s="32"/>
      <c r="AQ20" s="32"/>
      <c r="AR20" s="33"/>
      <c r="AS20" s="74"/>
      <c r="AT20" s="33"/>
      <c r="AU20" s="75"/>
      <c r="AV20" s="34"/>
      <c r="AW20" s="34"/>
      <c r="AX20" s="33"/>
      <c r="AY20" s="90"/>
      <c r="AZ20" s="86"/>
      <c r="BA20" s="35"/>
      <c r="BB20" s="36"/>
      <c r="BC20" s="36"/>
      <c r="BD20" s="36"/>
      <c r="BE20" s="36"/>
      <c r="BF20" s="37"/>
      <c r="BG20" s="37"/>
      <c r="BH20" s="37"/>
      <c r="BI20" s="37"/>
      <c r="BJ20" s="37"/>
      <c r="BK20" s="37"/>
      <c r="BL20" s="37"/>
      <c r="BM20" s="37"/>
      <c r="BN20" s="37"/>
      <c r="BO20" s="37"/>
    </row>
    <row r="21" spans="1:67" x14ac:dyDescent="0.25">
      <c r="A21" s="89"/>
      <c r="B21" s="24"/>
      <c r="C21" s="57"/>
      <c r="D21" s="57"/>
      <c r="E21" s="57"/>
      <c r="F21" s="57"/>
      <c r="G21" s="57"/>
      <c r="H21" s="57"/>
      <c r="I21" s="58"/>
      <c r="J21" s="58"/>
      <c r="K21" s="58"/>
      <c r="L21" s="58"/>
      <c r="M21" s="58"/>
      <c r="N21" s="58"/>
      <c r="O21" s="68"/>
      <c r="P21" s="68"/>
      <c r="Q21" s="69"/>
      <c r="R21" s="69"/>
      <c r="S21" s="69"/>
      <c r="T21" s="69"/>
      <c r="U21" s="69"/>
      <c r="V21" s="70"/>
      <c r="W21" s="28"/>
      <c r="X21" s="28"/>
      <c r="Y21" s="28"/>
      <c r="Z21" s="28"/>
      <c r="AA21" s="29"/>
      <c r="AB21" s="72"/>
      <c r="AC21" s="80"/>
      <c r="AD21" s="72"/>
      <c r="AE21" s="81"/>
      <c r="AF21" s="71"/>
      <c r="AG21" s="71"/>
      <c r="AH21" s="72"/>
      <c r="AI21" s="72"/>
      <c r="AJ21" s="30"/>
      <c r="AK21" s="73"/>
      <c r="AL21" s="30"/>
      <c r="AM21" s="73"/>
      <c r="AN21" s="31"/>
      <c r="AO21" s="31"/>
      <c r="AP21" s="32"/>
      <c r="AQ21" s="32"/>
      <c r="AR21" s="33"/>
      <c r="AS21" s="74"/>
      <c r="AT21" s="33"/>
      <c r="AU21" s="75"/>
      <c r="AV21" s="34"/>
      <c r="AW21" s="34"/>
      <c r="AX21" s="33"/>
      <c r="AY21" s="90"/>
      <c r="AZ21" s="86"/>
      <c r="BA21" s="35"/>
      <c r="BB21" s="36"/>
      <c r="BC21" s="36"/>
      <c r="BD21" s="36"/>
      <c r="BE21" s="36"/>
      <c r="BF21" s="37"/>
      <c r="BG21" s="37"/>
      <c r="BH21" s="37"/>
      <c r="BI21" s="37"/>
      <c r="BJ21" s="37"/>
      <c r="BK21" s="37"/>
      <c r="BL21" s="37"/>
      <c r="BM21" s="37"/>
      <c r="BN21" s="37"/>
      <c r="BO21" s="37"/>
    </row>
    <row r="22" spans="1:67" x14ac:dyDescent="0.25">
      <c r="A22" s="89"/>
      <c r="B22" s="24"/>
      <c r="C22" s="57"/>
      <c r="D22" s="57"/>
      <c r="E22" s="57"/>
      <c r="F22" s="57"/>
      <c r="G22" s="57"/>
      <c r="H22" s="57"/>
      <c r="I22" s="58"/>
      <c r="J22" s="58"/>
      <c r="K22" s="58"/>
      <c r="L22" s="58"/>
      <c r="M22" s="58"/>
      <c r="N22" s="58"/>
      <c r="O22" s="68"/>
      <c r="P22" s="68"/>
      <c r="Q22" s="69"/>
      <c r="R22" s="69"/>
      <c r="S22" s="69"/>
      <c r="T22" s="69"/>
      <c r="U22" s="69"/>
      <c r="V22" s="70"/>
      <c r="W22" s="28"/>
      <c r="X22" s="28"/>
      <c r="Y22" s="28"/>
      <c r="Z22" s="28"/>
      <c r="AA22" s="29"/>
      <c r="AB22" s="72"/>
      <c r="AC22" s="80"/>
      <c r="AD22" s="72"/>
      <c r="AE22" s="81"/>
      <c r="AF22" s="71"/>
      <c r="AG22" s="71"/>
      <c r="AH22" s="72"/>
      <c r="AI22" s="72"/>
      <c r="AJ22" s="30"/>
      <c r="AK22" s="73"/>
      <c r="AL22" s="30"/>
      <c r="AM22" s="73"/>
      <c r="AN22" s="31"/>
      <c r="AO22" s="31"/>
      <c r="AP22" s="32"/>
      <c r="AQ22" s="32"/>
      <c r="AR22" s="33"/>
      <c r="AS22" s="74"/>
      <c r="AT22" s="33"/>
      <c r="AU22" s="75"/>
      <c r="AV22" s="34"/>
      <c r="AW22" s="34"/>
      <c r="AX22" s="33"/>
      <c r="AY22" s="90"/>
      <c r="AZ22" s="86"/>
      <c r="BA22" s="35"/>
      <c r="BB22" s="36"/>
      <c r="BC22" s="36"/>
      <c r="BD22" s="36"/>
      <c r="BE22" s="36"/>
      <c r="BF22" s="37"/>
      <c r="BG22" s="37"/>
      <c r="BH22" s="37"/>
      <c r="BI22" s="37"/>
      <c r="BJ22" s="37"/>
      <c r="BK22" s="37"/>
      <c r="BL22" s="37"/>
      <c r="BM22" s="37"/>
      <c r="BN22" s="37"/>
      <c r="BO22" s="37"/>
    </row>
    <row r="23" spans="1:67" x14ac:dyDescent="0.25">
      <c r="A23" s="89"/>
      <c r="B23" s="24"/>
      <c r="C23" s="57"/>
      <c r="D23" s="57"/>
      <c r="E23" s="57"/>
      <c r="F23" s="57"/>
      <c r="G23" s="57"/>
      <c r="H23" s="57"/>
      <c r="I23" s="58"/>
      <c r="J23" s="58"/>
      <c r="K23" s="58"/>
      <c r="L23" s="58"/>
      <c r="M23" s="58"/>
      <c r="N23" s="58"/>
      <c r="O23" s="68"/>
      <c r="P23" s="68"/>
      <c r="Q23" s="69"/>
      <c r="R23" s="69"/>
      <c r="S23" s="69"/>
      <c r="T23" s="69"/>
      <c r="U23" s="69"/>
      <c r="V23" s="70"/>
      <c r="W23" s="28"/>
      <c r="X23" s="28"/>
      <c r="Y23" s="28"/>
      <c r="Z23" s="28"/>
      <c r="AA23" s="29"/>
      <c r="AB23" s="72"/>
      <c r="AC23" s="80"/>
      <c r="AD23" s="72"/>
      <c r="AE23" s="81"/>
      <c r="AF23" s="71"/>
      <c r="AG23" s="71"/>
      <c r="AH23" s="72"/>
      <c r="AI23" s="72"/>
      <c r="AJ23" s="30"/>
      <c r="AK23" s="73"/>
      <c r="AL23" s="30"/>
      <c r="AM23" s="73"/>
      <c r="AN23" s="31"/>
      <c r="AO23" s="31"/>
      <c r="AP23" s="32"/>
      <c r="AQ23" s="32"/>
      <c r="AR23" s="33"/>
      <c r="AS23" s="74"/>
      <c r="AT23" s="33"/>
      <c r="AU23" s="75"/>
      <c r="AV23" s="34"/>
      <c r="AW23" s="34"/>
      <c r="AX23" s="33"/>
      <c r="AY23" s="90"/>
      <c r="AZ23" s="86"/>
      <c r="BA23" s="35"/>
      <c r="BB23" s="36"/>
      <c r="BC23" s="36"/>
      <c r="BD23" s="36"/>
      <c r="BE23" s="36"/>
      <c r="BF23" s="37"/>
      <c r="BG23" s="37"/>
      <c r="BH23" s="37"/>
      <c r="BI23" s="37"/>
      <c r="BJ23" s="37"/>
      <c r="BK23" s="37"/>
      <c r="BL23" s="37"/>
      <c r="BM23" s="37"/>
      <c r="BN23" s="37"/>
      <c r="BO23" s="37"/>
    </row>
    <row r="24" spans="1:67" x14ac:dyDescent="0.25">
      <c r="A24" s="89"/>
      <c r="B24" s="24"/>
      <c r="C24" s="57"/>
      <c r="D24" s="57"/>
      <c r="E24" s="57"/>
      <c r="F24" s="57"/>
      <c r="G24" s="57"/>
      <c r="H24" s="57"/>
      <c r="I24" s="58"/>
      <c r="J24" s="58"/>
      <c r="K24" s="58"/>
      <c r="L24" s="58"/>
      <c r="M24" s="58"/>
      <c r="N24" s="58"/>
      <c r="O24" s="68"/>
      <c r="P24" s="68"/>
      <c r="Q24" s="69"/>
      <c r="R24" s="69"/>
      <c r="S24" s="69"/>
      <c r="T24" s="69"/>
      <c r="U24" s="69"/>
      <c r="V24" s="70"/>
      <c r="W24" s="28"/>
      <c r="X24" s="28"/>
      <c r="Y24" s="28"/>
      <c r="Z24" s="28"/>
      <c r="AA24" s="29"/>
      <c r="AB24" s="72"/>
      <c r="AC24" s="80"/>
      <c r="AD24" s="72"/>
      <c r="AE24" s="81"/>
      <c r="AF24" s="71"/>
      <c r="AG24" s="71"/>
      <c r="AH24" s="72"/>
      <c r="AI24" s="72"/>
      <c r="AJ24" s="30"/>
      <c r="AK24" s="73"/>
      <c r="AL24" s="30"/>
      <c r="AM24" s="73"/>
      <c r="AN24" s="31"/>
      <c r="AO24" s="31"/>
      <c r="AP24" s="32"/>
      <c r="AQ24" s="32"/>
      <c r="AR24" s="33"/>
      <c r="AS24" s="74"/>
      <c r="AT24" s="33"/>
      <c r="AU24" s="75"/>
      <c r="AV24" s="34"/>
      <c r="AW24" s="34"/>
      <c r="AX24" s="33"/>
      <c r="AY24" s="90"/>
      <c r="AZ24" s="86"/>
      <c r="BA24" s="35"/>
      <c r="BB24" s="36"/>
      <c r="BC24" s="36"/>
      <c r="BD24" s="36"/>
      <c r="BE24" s="36"/>
      <c r="BF24" s="37"/>
      <c r="BG24" s="37"/>
      <c r="BH24" s="37"/>
      <c r="BI24" s="37"/>
      <c r="BJ24" s="37"/>
      <c r="BK24" s="37"/>
      <c r="BL24" s="37"/>
      <c r="BM24" s="37"/>
      <c r="BN24" s="37"/>
      <c r="BO24" s="37"/>
    </row>
    <row r="25" spans="1:67" x14ac:dyDescent="0.25">
      <c r="A25" s="89"/>
      <c r="B25" s="24"/>
      <c r="C25" s="57"/>
      <c r="D25" s="57"/>
      <c r="E25" s="57"/>
      <c r="F25" s="57"/>
      <c r="G25" s="57"/>
      <c r="H25" s="57"/>
      <c r="I25" s="58"/>
      <c r="J25" s="58"/>
      <c r="K25" s="58"/>
      <c r="L25" s="58"/>
      <c r="M25" s="58"/>
      <c r="N25" s="58"/>
      <c r="O25" s="68"/>
      <c r="P25" s="68"/>
      <c r="Q25" s="69"/>
      <c r="R25" s="69"/>
      <c r="S25" s="69"/>
      <c r="T25" s="69"/>
      <c r="U25" s="69"/>
      <c r="V25" s="70"/>
      <c r="W25" s="28"/>
      <c r="X25" s="28"/>
      <c r="Y25" s="28"/>
      <c r="Z25" s="28"/>
      <c r="AA25" s="29"/>
      <c r="AB25" s="72"/>
      <c r="AC25" s="80"/>
      <c r="AD25" s="72"/>
      <c r="AE25" s="81"/>
      <c r="AF25" s="71"/>
      <c r="AG25" s="71"/>
      <c r="AH25" s="72"/>
      <c r="AI25" s="72"/>
      <c r="AJ25" s="30"/>
      <c r="AK25" s="73"/>
      <c r="AL25" s="30"/>
      <c r="AM25" s="73"/>
      <c r="AN25" s="31"/>
      <c r="AO25" s="31"/>
      <c r="AP25" s="32"/>
      <c r="AQ25" s="32"/>
      <c r="AR25" s="33"/>
      <c r="AS25" s="74"/>
      <c r="AT25" s="33"/>
      <c r="AU25" s="75"/>
      <c r="AV25" s="34"/>
      <c r="AW25" s="34"/>
      <c r="AX25" s="33"/>
      <c r="AY25" s="90"/>
      <c r="AZ25" s="86"/>
      <c r="BA25" s="35"/>
      <c r="BB25" s="36"/>
      <c r="BC25" s="36"/>
      <c r="BD25" s="36"/>
      <c r="BE25" s="36"/>
      <c r="BF25" s="37"/>
      <c r="BG25" s="37"/>
      <c r="BH25" s="37"/>
      <c r="BI25" s="37"/>
      <c r="BJ25" s="37"/>
      <c r="BK25" s="37"/>
      <c r="BL25" s="37"/>
      <c r="BM25" s="37"/>
      <c r="BN25" s="37"/>
      <c r="BO25" s="37"/>
    </row>
    <row r="26" spans="1:67" x14ac:dyDescent="0.25">
      <c r="A26" s="89"/>
      <c r="B26" s="24"/>
      <c r="C26" s="57"/>
      <c r="D26" s="57"/>
      <c r="E26" s="57"/>
      <c r="F26" s="57"/>
      <c r="G26" s="57"/>
      <c r="H26" s="57"/>
      <c r="I26" s="58"/>
      <c r="J26" s="58"/>
      <c r="K26" s="58"/>
      <c r="L26" s="58"/>
      <c r="M26" s="58"/>
      <c r="N26" s="58"/>
      <c r="O26" s="68"/>
      <c r="P26" s="68"/>
      <c r="Q26" s="69"/>
      <c r="R26" s="69"/>
      <c r="S26" s="69"/>
      <c r="T26" s="69"/>
      <c r="U26" s="69"/>
      <c r="V26" s="70"/>
      <c r="W26" s="28"/>
      <c r="X26" s="28"/>
      <c r="Y26" s="28"/>
      <c r="Z26" s="28"/>
      <c r="AA26" s="29"/>
      <c r="AB26" s="72"/>
      <c r="AC26" s="80"/>
      <c r="AD26" s="72"/>
      <c r="AE26" s="81"/>
      <c r="AF26" s="71"/>
      <c r="AG26" s="71"/>
      <c r="AH26" s="72"/>
      <c r="AI26" s="72"/>
      <c r="AJ26" s="30"/>
      <c r="AK26" s="73"/>
      <c r="AL26" s="30"/>
      <c r="AM26" s="73"/>
      <c r="AN26" s="31"/>
      <c r="AO26" s="31"/>
      <c r="AP26" s="32"/>
      <c r="AQ26" s="32"/>
      <c r="AR26" s="33"/>
      <c r="AS26" s="74"/>
      <c r="AT26" s="33"/>
      <c r="AU26" s="75"/>
      <c r="AV26" s="34"/>
      <c r="AW26" s="34"/>
      <c r="AX26" s="33"/>
      <c r="AY26" s="90"/>
      <c r="AZ26" s="86"/>
      <c r="BA26" s="35"/>
      <c r="BB26" s="36"/>
      <c r="BC26" s="36"/>
      <c r="BD26" s="36"/>
      <c r="BE26" s="36"/>
      <c r="BF26" s="37"/>
      <c r="BG26" s="37"/>
      <c r="BH26" s="37"/>
      <c r="BI26" s="37"/>
      <c r="BJ26" s="37"/>
      <c r="BK26" s="37"/>
      <c r="BL26" s="37"/>
      <c r="BM26" s="37"/>
      <c r="BN26" s="37"/>
      <c r="BO26" s="37"/>
    </row>
    <row r="27" spans="1:67" ht="15.75" thickBot="1" x14ac:dyDescent="0.3">
      <c r="A27" s="91"/>
      <c r="B27" s="92"/>
      <c r="C27" s="93"/>
      <c r="D27" s="93"/>
      <c r="E27" s="93"/>
      <c r="F27" s="93"/>
      <c r="G27" s="93"/>
      <c r="H27" s="93"/>
      <c r="I27" s="94"/>
      <c r="J27" s="94"/>
      <c r="K27" s="94"/>
      <c r="L27" s="94"/>
      <c r="M27" s="94"/>
      <c r="N27" s="94"/>
      <c r="O27" s="95"/>
      <c r="P27" s="95"/>
      <c r="Q27" s="96"/>
      <c r="R27" s="96"/>
      <c r="S27" s="96"/>
      <c r="T27" s="96"/>
      <c r="U27" s="96"/>
      <c r="V27" s="97"/>
      <c r="W27" s="98"/>
      <c r="X27" s="98"/>
      <c r="Y27" s="98"/>
      <c r="Z27" s="98"/>
      <c r="AA27" s="99"/>
      <c r="AB27" s="100"/>
      <c r="AC27" s="101"/>
      <c r="AD27" s="100"/>
      <c r="AE27" s="102"/>
      <c r="AF27" s="103"/>
      <c r="AG27" s="103"/>
      <c r="AH27" s="100"/>
      <c r="AI27" s="100"/>
      <c r="AJ27" s="104"/>
      <c r="AK27" s="105"/>
      <c r="AL27" s="104"/>
      <c r="AM27" s="105"/>
      <c r="AN27" s="106"/>
      <c r="AO27" s="106"/>
      <c r="AP27" s="107"/>
      <c r="AQ27" s="107"/>
      <c r="AR27" s="108"/>
      <c r="AS27" s="109"/>
      <c r="AT27" s="108"/>
      <c r="AU27" s="110"/>
      <c r="AV27" s="111"/>
      <c r="AW27" s="111"/>
      <c r="AX27" s="108"/>
      <c r="AY27" s="112"/>
      <c r="AZ27" s="86"/>
      <c r="BA27" s="35"/>
      <c r="BB27" s="36"/>
      <c r="BC27" s="36"/>
      <c r="BD27" s="36"/>
      <c r="BE27" s="36"/>
      <c r="BF27" s="37"/>
      <c r="BG27" s="37"/>
      <c r="BH27" s="37"/>
      <c r="BI27" s="37"/>
      <c r="BJ27" s="37"/>
      <c r="BK27" s="37"/>
      <c r="BL27" s="37"/>
      <c r="BM27" s="37"/>
      <c r="BN27" s="37"/>
      <c r="BO27" s="37"/>
    </row>
    <row r="28" spans="1:67" x14ac:dyDescent="0.25">
      <c r="E28" s="56"/>
    </row>
    <row r="29" spans="1:67" x14ac:dyDescent="0.25">
      <c r="E29" s="56"/>
    </row>
    <row r="30" spans="1:67" x14ac:dyDescent="0.25">
      <c r="E30" s="56"/>
    </row>
    <row r="31" spans="1:67" x14ac:dyDescent="0.25">
      <c r="E31" s="56"/>
    </row>
  </sheetData>
  <mergeCells count="18">
    <mergeCell ref="A2:V2"/>
    <mergeCell ref="AZ2:BE2"/>
    <mergeCell ref="C1:AY1"/>
    <mergeCell ref="A3:A4"/>
    <mergeCell ref="AR2:AY2"/>
    <mergeCell ref="AB2:AQ2"/>
    <mergeCell ref="B4:B5"/>
    <mergeCell ref="C3:H3"/>
    <mergeCell ref="I3:N3"/>
    <mergeCell ref="BF3:BO3"/>
    <mergeCell ref="BD3:BE3"/>
    <mergeCell ref="AZ3:BC3"/>
    <mergeCell ref="O3:V3"/>
    <mergeCell ref="AB3:AI3"/>
    <mergeCell ref="AJ3:AQ3"/>
    <mergeCell ref="AR3:AY3"/>
    <mergeCell ref="Z3:Z4"/>
    <mergeCell ref="AA3:AA4"/>
  </mergeCells>
  <conditionalFormatting sqref="BD5:BE5">
    <cfRule type="expression" dxfId="1" priority="1">
      <formula>LEN($AK5)&gt;0</formula>
    </cfRule>
  </conditionalFormatting>
  <pageMargins left="0.25" right="0.25" top="0.75" bottom="0.75" header="0.3" footer="0.3"/>
  <pageSetup paperSize="9" fitToWidth="0" orientation="landscape" horizontalDpi="300" verticalDpi="300" r:id="rId1"/>
  <headerFooter>
    <oddFooter>&amp;C&amp;"Arial,Regular"&amp;9&amp;P de &amp;N</oddFooter>
  </headerFooter>
  <colBreaks count="3" manualBreakCount="3">
    <brk id="14" max="26" man="1"/>
    <brk id="35" max="26" man="1"/>
    <brk id="43" max="26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04A9-28F4-4912-8405-E46E3313CC6C}">
  <sheetPr codeName="Sheet3"/>
  <dimension ref="A1:BB30"/>
  <sheetViews>
    <sheetView view="pageBreakPreview" zoomScale="90" zoomScaleNormal="80" zoomScaleSheetLayoutView="90" workbookViewId="0">
      <pane xSplit="1" topLeftCell="C1" activePane="topRight" state="frozen"/>
      <selection pane="topRight" activeCell="N9" sqref="N9"/>
    </sheetView>
  </sheetViews>
  <sheetFormatPr defaultColWidth="8.7109375" defaultRowHeight="15" x14ac:dyDescent="0.25"/>
  <cols>
    <col min="1" max="1" width="14.28515625" style="5" customWidth="1"/>
    <col min="2" max="2" width="14.28515625" style="5" hidden="1" customWidth="1"/>
    <col min="3" max="23" width="14.28515625" style="5" customWidth="1"/>
    <col min="24" max="26" width="14.7109375" style="5" customWidth="1"/>
    <col min="27" max="16384" width="8.7109375" style="5"/>
  </cols>
  <sheetData>
    <row r="1" spans="1:54" ht="45.6" customHeight="1" x14ac:dyDescent="0.25">
      <c r="A1" s="76"/>
      <c r="B1" s="66"/>
      <c r="C1" s="184" t="s">
        <v>181</v>
      </c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</row>
    <row r="2" spans="1:54" s="7" customFormat="1" ht="18.75" x14ac:dyDescent="0.25">
      <c r="A2" s="185" t="s">
        <v>177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15"/>
      <c r="Z2" s="142"/>
    </row>
    <row r="3" spans="1:54" s="38" customFormat="1" ht="15" customHeight="1" x14ac:dyDescent="0.2">
      <c r="A3" s="176" t="s">
        <v>2</v>
      </c>
      <c r="B3" s="60"/>
      <c r="C3" s="177" t="s">
        <v>343</v>
      </c>
      <c r="D3" s="178"/>
      <c r="E3" s="178"/>
      <c r="F3" s="178"/>
      <c r="G3" s="178"/>
      <c r="H3" s="178"/>
      <c r="I3" s="179"/>
      <c r="J3" s="183" t="s">
        <v>344</v>
      </c>
      <c r="K3" s="183"/>
      <c r="L3" s="183"/>
      <c r="M3" s="183"/>
      <c r="N3" s="183"/>
      <c r="O3" s="183"/>
      <c r="P3" s="183"/>
      <c r="Q3" s="183"/>
      <c r="R3" s="186" t="s">
        <v>345</v>
      </c>
      <c r="S3" s="187"/>
      <c r="T3" s="187"/>
      <c r="U3" s="187"/>
      <c r="V3" s="187"/>
      <c r="W3" s="187"/>
      <c r="X3" s="187"/>
      <c r="Y3" s="187"/>
      <c r="Z3" s="187"/>
    </row>
    <row r="4" spans="1:54" x14ac:dyDescent="0.25">
      <c r="A4" s="176"/>
      <c r="B4" s="77" t="s">
        <v>159</v>
      </c>
      <c r="C4" s="9" t="s">
        <v>163</v>
      </c>
      <c r="D4" s="9" t="s">
        <v>115</v>
      </c>
      <c r="E4" s="9" t="s">
        <v>162</v>
      </c>
      <c r="F4" s="9" t="s">
        <v>160</v>
      </c>
      <c r="G4" s="9" t="s">
        <v>161</v>
      </c>
      <c r="H4" s="9" t="s">
        <v>347</v>
      </c>
      <c r="I4" s="9" t="s">
        <v>342</v>
      </c>
      <c r="J4" s="10" t="s">
        <v>163</v>
      </c>
      <c r="K4" s="10" t="s">
        <v>115</v>
      </c>
      <c r="L4" s="10" t="s">
        <v>116</v>
      </c>
      <c r="M4" s="10" t="s">
        <v>162</v>
      </c>
      <c r="N4" s="10" t="s">
        <v>160</v>
      </c>
      <c r="O4" s="10" t="s">
        <v>161</v>
      </c>
      <c r="P4" s="10" t="s">
        <v>347</v>
      </c>
      <c r="Q4" s="10" t="s">
        <v>342</v>
      </c>
      <c r="R4" s="54" t="s">
        <v>164</v>
      </c>
      <c r="S4" s="54" t="s">
        <v>11</v>
      </c>
      <c r="T4" s="54" t="s">
        <v>115</v>
      </c>
      <c r="U4" s="54" t="s">
        <v>10</v>
      </c>
      <c r="V4" s="54" t="s">
        <v>162</v>
      </c>
      <c r="W4" s="143" t="s">
        <v>160</v>
      </c>
      <c r="X4" s="143" t="s">
        <v>161</v>
      </c>
      <c r="Y4" s="143" t="s">
        <v>347</v>
      </c>
      <c r="Z4" s="143" t="s">
        <v>342</v>
      </c>
    </row>
    <row r="5" spans="1:54" ht="62.45" hidden="1" customHeight="1" x14ac:dyDescent="0.25">
      <c r="A5" s="8"/>
      <c r="B5" s="8"/>
      <c r="C5" s="9" t="s">
        <v>117</v>
      </c>
      <c r="D5" s="9" t="s">
        <v>51</v>
      </c>
      <c r="E5" s="9" t="s">
        <v>52</v>
      </c>
      <c r="F5" s="9"/>
      <c r="G5" s="9" t="s">
        <v>38</v>
      </c>
      <c r="H5" s="9"/>
      <c r="I5" s="9"/>
      <c r="J5" s="10" t="s">
        <v>118</v>
      </c>
      <c r="K5" s="10" t="s">
        <v>119</v>
      </c>
      <c r="L5" s="10" t="s">
        <v>38</v>
      </c>
      <c r="M5" s="10" t="s">
        <v>120</v>
      </c>
      <c r="N5" s="10"/>
      <c r="O5" s="10"/>
      <c r="P5" s="10"/>
      <c r="Q5" s="10"/>
      <c r="R5" s="54" t="s">
        <v>44</v>
      </c>
      <c r="S5" s="54" t="s">
        <v>38</v>
      </c>
      <c r="T5" s="54" t="s">
        <v>121</v>
      </c>
      <c r="U5" s="54" t="s">
        <v>38</v>
      </c>
      <c r="V5" s="54" t="s">
        <v>46</v>
      </c>
      <c r="W5" s="54"/>
      <c r="X5" s="11" t="s">
        <v>38</v>
      </c>
      <c r="Y5" s="11"/>
      <c r="Z5" s="141"/>
    </row>
    <row r="6" spans="1:54" x14ac:dyDescent="0.25">
      <c r="A6" s="24"/>
      <c r="B6" s="24"/>
      <c r="C6" s="25"/>
      <c r="D6" s="25"/>
      <c r="E6" s="25"/>
      <c r="F6" s="25"/>
      <c r="G6" s="25"/>
      <c r="H6" s="25"/>
      <c r="I6" s="25"/>
      <c r="J6" s="26"/>
      <c r="K6" s="26"/>
      <c r="L6" s="26"/>
      <c r="M6" s="26"/>
      <c r="N6" s="26"/>
      <c r="O6" s="26"/>
      <c r="P6" s="26"/>
      <c r="Q6" s="26"/>
      <c r="R6" s="65"/>
      <c r="S6" s="27"/>
      <c r="T6" s="42"/>
      <c r="U6" s="27"/>
      <c r="V6" s="42"/>
      <c r="W6" s="42"/>
      <c r="X6" s="27"/>
      <c r="Y6" s="27"/>
      <c r="Z6" s="27"/>
    </row>
    <row r="7" spans="1:54" x14ac:dyDescent="0.25">
      <c r="A7" s="24"/>
      <c r="B7" s="24"/>
      <c r="C7" s="25"/>
      <c r="D7" s="25"/>
      <c r="E7" s="25"/>
      <c r="F7" s="25"/>
      <c r="G7" s="25"/>
      <c r="H7" s="25"/>
      <c r="I7" s="25"/>
      <c r="J7" s="26"/>
      <c r="K7" s="26"/>
      <c r="L7" s="26"/>
      <c r="M7" s="26"/>
      <c r="N7" s="26"/>
      <c r="O7" s="26"/>
      <c r="P7" s="26"/>
      <c r="Q7" s="26"/>
      <c r="R7" s="65"/>
      <c r="S7" s="27"/>
      <c r="T7" s="42"/>
      <c r="U7" s="27"/>
      <c r="V7" s="53"/>
      <c r="W7" s="53"/>
      <c r="X7" s="27"/>
      <c r="Y7" s="27"/>
      <c r="Z7" s="27"/>
    </row>
    <row r="8" spans="1:54" x14ac:dyDescent="0.25">
      <c r="A8" s="24"/>
      <c r="B8" s="24"/>
      <c r="C8" s="25"/>
      <c r="D8" s="25"/>
      <c r="E8" s="25"/>
      <c r="F8" s="25"/>
      <c r="G8" s="25"/>
      <c r="H8" s="25"/>
      <c r="I8" s="25"/>
      <c r="J8" s="26"/>
      <c r="K8" s="26"/>
      <c r="L8" s="26"/>
      <c r="M8" s="26"/>
      <c r="N8" s="26"/>
      <c r="O8" s="26"/>
      <c r="P8" s="26"/>
      <c r="Q8" s="26"/>
      <c r="R8" s="65"/>
      <c r="S8" s="27"/>
      <c r="T8" s="42"/>
      <c r="U8" s="27"/>
      <c r="V8" s="53"/>
      <c r="W8" s="53"/>
      <c r="X8" s="27"/>
      <c r="Y8" s="27"/>
      <c r="Z8" s="27"/>
    </row>
    <row r="9" spans="1:54" x14ac:dyDescent="0.25">
      <c r="A9" s="24"/>
      <c r="B9" s="24"/>
      <c r="C9" s="25"/>
      <c r="D9" s="25"/>
      <c r="E9" s="25"/>
      <c r="F9" s="25"/>
      <c r="G9" s="25"/>
      <c r="H9" s="25"/>
      <c r="I9" s="25"/>
      <c r="J9" s="26"/>
      <c r="K9" s="26"/>
      <c r="L9" s="26"/>
      <c r="M9" s="26"/>
      <c r="N9" s="26"/>
      <c r="O9" s="26"/>
      <c r="P9" s="26"/>
      <c r="Q9" s="26"/>
      <c r="R9" s="65"/>
      <c r="S9" s="27"/>
      <c r="T9" s="42"/>
      <c r="U9" s="27"/>
      <c r="V9" s="42"/>
      <c r="W9" s="42"/>
      <c r="X9" s="27"/>
      <c r="Y9" s="27"/>
      <c r="Z9" s="27"/>
    </row>
    <row r="10" spans="1:54" x14ac:dyDescent="0.25">
      <c r="A10" s="24"/>
      <c r="B10" s="24"/>
      <c r="C10" s="25"/>
      <c r="D10" s="25"/>
      <c r="E10" s="25"/>
      <c r="F10" s="25"/>
      <c r="G10" s="25"/>
      <c r="H10" s="25"/>
      <c r="I10" s="25"/>
      <c r="J10" s="26"/>
      <c r="K10" s="26"/>
      <c r="L10" s="26"/>
      <c r="M10" s="26"/>
      <c r="N10" s="26"/>
      <c r="O10" s="26"/>
      <c r="P10" s="26"/>
      <c r="Q10" s="26"/>
      <c r="R10" s="65"/>
      <c r="S10" s="27"/>
      <c r="T10" s="42"/>
      <c r="U10" s="27"/>
      <c r="V10" s="42"/>
      <c r="W10" s="42"/>
      <c r="X10" s="27"/>
      <c r="Y10" s="27"/>
      <c r="Z10" s="27"/>
    </row>
    <row r="11" spans="1:54" x14ac:dyDescent="0.25">
      <c r="A11" s="24"/>
      <c r="B11" s="24"/>
      <c r="C11" s="25"/>
      <c r="D11" s="25"/>
      <c r="E11" s="25"/>
      <c r="F11" s="25"/>
      <c r="G11" s="25"/>
      <c r="H11" s="25"/>
      <c r="I11" s="25"/>
      <c r="J11" s="26"/>
      <c r="K11" s="26"/>
      <c r="L11" s="26"/>
      <c r="M11" s="26"/>
      <c r="N11" s="26"/>
      <c r="O11" s="26"/>
      <c r="P11" s="26"/>
      <c r="Q11" s="26"/>
      <c r="R11" s="65"/>
      <c r="S11" s="27"/>
      <c r="T11" s="42"/>
      <c r="U11" s="27"/>
      <c r="V11" s="42"/>
      <c r="W11" s="42"/>
      <c r="X11" s="27"/>
      <c r="Y11" s="27"/>
      <c r="Z11" s="27"/>
    </row>
    <row r="12" spans="1:54" x14ac:dyDescent="0.25">
      <c r="A12" s="24"/>
      <c r="B12" s="24"/>
      <c r="C12" s="25"/>
      <c r="D12" s="25"/>
      <c r="E12" s="25"/>
      <c r="F12" s="25"/>
      <c r="G12" s="25"/>
      <c r="H12" s="25"/>
      <c r="I12" s="25"/>
      <c r="J12" s="26"/>
      <c r="K12" s="26"/>
      <c r="L12" s="26"/>
      <c r="M12" s="26"/>
      <c r="N12" s="26"/>
      <c r="O12" s="26"/>
      <c r="P12" s="26"/>
      <c r="Q12" s="26"/>
      <c r="R12" s="65"/>
      <c r="S12" s="27"/>
      <c r="T12" s="42"/>
      <c r="U12" s="27"/>
      <c r="V12" s="42"/>
      <c r="W12" s="42"/>
      <c r="X12" s="27"/>
      <c r="Y12" s="27"/>
      <c r="Z12" s="27"/>
    </row>
    <row r="13" spans="1:54" x14ac:dyDescent="0.25">
      <c r="A13" s="24"/>
      <c r="B13" s="24"/>
      <c r="C13" s="25"/>
      <c r="D13" s="25"/>
      <c r="E13" s="25"/>
      <c r="F13" s="25"/>
      <c r="G13" s="25"/>
      <c r="H13" s="25"/>
      <c r="I13" s="25"/>
      <c r="J13" s="26"/>
      <c r="K13" s="26"/>
      <c r="L13" s="26"/>
      <c r="M13" s="26"/>
      <c r="N13" s="26"/>
      <c r="O13" s="26"/>
      <c r="P13" s="26"/>
      <c r="Q13" s="26"/>
      <c r="R13" s="65"/>
      <c r="S13" s="27"/>
      <c r="T13" s="42"/>
      <c r="U13" s="27"/>
      <c r="V13" s="42"/>
      <c r="W13" s="42"/>
      <c r="X13" s="27"/>
      <c r="Y13" s="27"/>
      <c r="Z13" s="27"/>
    </row>
    <row r="14" spans="1:54" x14ac:dyDescent="0.25">
      <c r="A14" s="24"/>
      <c r="B14" s="24"/>
      <c r="C14" s="25"/>
      <c r="D14" s="25"/>
      <c r="E14" s="25"/>
      <c r="F14" s="25"/>
      <c r="G14" s="25"/>
      <c r="H14" s="25"/>
      <c r="I14" s="25"/>
      <c r="J14" s="26"/>
      <c r="K14" s="26"/>
      <c r="L14" s="26"/>
      <c r="M14" s="26"/>
      <c r="N14" s="26"/>
      <c r="O14" s="26"/>
      <c r="P14" s="26"/>
      <c r="Q14" s="26"/>
      <c r="R14" s="65"/>
      <c r="S14" s="27"/>
      <c r="T14" s="42"/>
      <c r="U14" s="27"/>
      <c r="V14" s="42"/>
      <c r="W14" s="42"/>
      <c r="X14" s="27"/>
      <c r="Y14" s="27"/>
      <c r="Z14" s="27"/>
    </row>
    <row r="15" spans="1:54" x14ac:dyDescent="0.25">
      <c r="A15" s="24"/>
      <c r="B15" s="24"/>
      <c r="C15" s="25"/>
      <c r="D15" s="25"/>
      <c r="E15" s="25"/>
      <c r="F15" s="25"/>
      <c r="G15" s="25"/>
      <c r="H15" s="25"/>
      <c r="I15" s="25"/>
      <c r="J15" s="26"/>
      <c r="K15" s="26"/>
      <c r="L15" s="26"/>
      <c r="M15" s="26"/>
      <c r="N15" s="26"/>
      <c r="O15" s="26"/>
      <c r="P15" s="26"/>
      <c r="Q15" s="26"/>
      <c r="R15" s="65"/>
      <c r="S15" s="27"/>
      <c r="T15" s="42"/>
      <c r="U15" s="27"/>
      <c r="V15" s="42"/>
      <c r="W15" s="42"/>
      <c r="X15" s="27"/>
      <c r="Y15" s="27"/>
      <c r="Z15" s="27"/>
    </row>
    <row r="16" spans="1:54" x14ac:dyDescent="0.25">
      <c r="A16" s="24"/>
      <c r="B16" s="24"/>
      <c r="C16" s="25"/>
      <c r="D16" s="25"/>
      <c r="E16" s="25"/>
      <c r="F16" s="25"/>
      <c r="G16" s="25"/>
      <c r="H16" s="25"/>
      <c r="I16" s="25"/>
      <c r="J16" s="26"/>
      <c r="K16" s="26"/>
      <c r="L16" s="26"/>
      <c r="M16" s="26"/>
      <c r="N16" s="26"/>
      <c r="O16" s="26"/>
      <c r="P16" s="26"/>
      <c r="Q16" s="26"/>
      <c r="R16" s="65"/>
      <c r="S16" s="27"/>
      <c r="T16" s="42"/>
      <c r="U16" s="27"/>
      <c r="V16" s="42"/>
      <c r="W16" s="42"/>
      <c r="X16" s="27"/>
      <c r="Y16" s="27"/>
      <c r="Z16" s="27"/>
    </row>
    <row r="17" spans="1:26" x14ac:dyDescent="0.25">
      <c r="A17" s="24"/>
      <c r="B17" s="24"/>
      <c r="C17" s="25"/>
      <c r="D17" s="25"/>
      <c r="E17" s="25"/>
      <c r="F17" s="25"/>
      <c r="G17" s="25"/>
      <c r="H17" s="25"/>
      <c r="I17" s="25"/>
      <c r="J17" s="26"/>
      <c r="K17" s="26"/>
      <c r="L17" s="26"/>
      <c r="M17" s="26"/>
      <c r="N17" s="26"/>
      <c r="O17" s="26"/>
      <c r="P17" s="26"/>
      <c r="Q17" s="26"/>
      <c r="R17" s="65"/>
      <c r="S17" s="27"/>
      <c r="T17" s="42"/>
      <c r="U17" s="27"/>
      <c r="V17" s="42"/>
      <c r="W17" s="42"/>
      <c r="X17" s="27"/>
      <c r="Y17" s="27"/>
      <c r="Z17" s="27"/>
    </row>
    <row r="18" spans="1:26" x14ac:dyDescent="0.25">
      <c r="A18" s="24"/>
      <c r="B18" s="24"/>
      <c r="C18" s="25"/>
      <c r="D18" s="25"/>
      <c r="E18" s="25"/>
      <c r="F18" s="25"/>
      <c r="G18" s="25"/>
      <c r="H18" s="25"/>
      <c r="I18" s="25"/>
      <c r="J18" s="26"/>
      <c r="K18" s="26"/>
      <c r="L18" s="26"/>
      <c r="M18" s="26"/>
      <c r="N18" s="26"/>
      <c r="O18" s="26"/>
      <c r="P18" s="26"/>
      <c r="Q18" s="26"/>
      <c r="R18" s="65"/>
      <c r="S18" s="27"/>
      <c r="T18" s="42"/>
      <c r="U18" s="27"/>
      <c r="V18" s="42"/>
      <c r="W18" s="42"/>
      <c r="X18" s="27"/>
      <c r="Y18" s="27"/>
      <c r="Z18" s="27"/>
    </row>
    <row r="19" spans="1:26" x14ac:dyDescent="0.25">
      <c r="A19" s="24"/>
      <c r="B19" s="24"/>
      <c r="C19" s="25"/>
      <c r="D19" s="25"/>
      <c r="E19" s="25"/>
      <c r="F19" s="25"/>
      <c r="G19" s="25"/>
      <c r="H19" s="25"/>
      <c r="I19" s="25"/>
      <c r="J19" s="26"/>
      <c r="K19" s="26"/>
      <c r="L19" s="26"/>
      <c r="M19" s="26"/>
      <c r="N19" s="26"/>
      <c r="O19" s="26"/>
      <c r="P19" s="26"/>
      <c r="Q19" s="26"/>
      <c r="R19" s="65"/>
      <c r="S19" s="27"/>
      <c r="T19" s="42"/>
      <c r="U19" s="27"/>
      <c r="V19" s="42"/>
      <c r="W19" s="42"/>
      <c r="X19" s="27"/>
      <c r="Y19" s="27"/>
      <c r="Z19" s="27"/>
    </row>
    <row r="20" spans="1:26" x14ac:dyDescent="0.25">
      <c r="A20" s="24"/>
      <c r="B20" s="24"/>
      <c r="C20" s="25"/>
      <c r="D20" s="25"/>
      <c r="E20" s="25"/>
      <c r="F20" s="25"/>
      <c r="G20" s="25"/>
      <c r="H20" s="25"/>
      <c r="I20" s="25"/>
      <c r="J20" s="26"/>
      <c r="K20" s="26"/>
      <c r="L20" s="26"/>
      <c r="M20" s="26"/>
      <c r="N20" s="26"/>
      <c r="O20" s="26"/>
      <c r="P20" s="26"/>
      <c r="Q20" s="26"/>
      <c r="R20" s="65"/>
      <c r="S20" s="27"/>
      <c r="T20" s="42"/>
      <c r="U20" s="27"/>
      <c r="V20" s="42"/>
      <c r="W20" s="42"/>
      <c r="X20" s="27"/>
      <c r="Y20" s="27"/>
      <c r="Z20" s="27"/>
    </row>
    <row r="21" spans="1:26" x14ac:dyDescent="0.25">
      <c r="A21" s="24"/>
      <c r="B21" s="24"/>
      <c r="C21" s="25"/>
      <c r="D21" s="25"/>
      <c r="E21" s="25"/>
      <c r="F21" s="25"/>
      <c r="G21" s="25"/>
      <c r="H21" s="25"/>
      <c r="I21" s="25"/>
      <c r="J21" s="26"/>
      <c r="K21" s="26"/>
      <c r="L21" s="26"/>
      <c r="M21" s="26"/>
      <c r="N21" s="26"/>
      <c r="O21" s="26"/>
      <c r="P21" s="26"/>
      <c r="Q21" s="26"/>
      <c r="R21" s="65"/>
      <c r="S21" s="27"/>
      <c r="T21" s="42"/>
      <c r="U21" s="27"/>
      <c r="V21" s="27"/>
      <c r="W21" s="27"/>
      <c r="X21" s="27"/>
      <c r="Y21" s="27"/>
      <c r="Z21" s="27"/>
    </row>
    <row r="22" spans="1:26" x14ac:dyDescent="0.25">
      <c r="A22" s="24"/>
      <c r="B22" s="24"/>
      <c r="C22" s="25"/>
      <c r="D22" s="25"/>
      <c r="E22" s="25"/>
      <c r="F22" s="25"/>
      <c r="G22" s="25"/>
      <c r="H22" s="25"/>
      <c r="I22" s="25"/>
      <c r="J22" s="26"/>
      <c r="K22" s="26"/>
      <c r="L22" s="26"/>
      <c r="M22" s="26"/>
      <c r="N22" s="26"/>
      <c r="O22" s="26"/>
      <c r="P22" s="26"/>
      <c r="Q22" s="26"/>
      <c r="R22" s="65"/>
      <c r="S22" s="27"/>
      <c r="T22" s="42"/>
      <c r="U22" s="27"/>
      <c r="V22" s="27"/>
      <c r="W22" s="27"/>
      <c r="X22" s="27"/>
      <c r="Y22" s="27"/>
      <c r="Z22" s="27"/>
    </row>
    <row r="23" spans="1:26" x14ac:dyDescent="0.25">
      <c r="A23" s="24"/>
      <c r="B23" s="24"/>
      <c r="C23" s="25"/>
      <c r="D23" s="25"/>
      <c r="E23" s="25"/>
      <c r="F23" s="25"/>
      <c r="G23" s="25"/>
      <c r="H23" s="25"/>
      <c r="I23" s="25"/>
      <c r="J23" s="26"/>
      <c r="K23" s="26"/>
      <c r="L23" s="26"/>
      <c r="M23" s="26"/>
      <c r="N23" s="26"/>
      <c r="O23" s="26"/>
      <c r="P23" s="26"/>
      <c r="Q23" s="26"/>
      <c r="R23" s="65"/>
      <c r="S23" s="27"/>
      <c r="T23" s="42"/>
      <c r="U23" s="27"/>
      <c r="V23" s="27"/>
      <c r="W23" s="27"/>
      <c r="X23" s="27"/>
      <c r="Y23" s="27"/>
      <c r="Z23" s="27"/>
    </row>
    <row r="24" spans="1:26" x14ac:dyDescent="0.25">
      <c r="A24" s="24"/>
      <c r="B24" s="24"/>
      <c r="C24" s="25"/>
      <c r="D24" s="25"/>
      <c r="E24" s="25"/>
      <c r="F24" s="25"/>
      <c r="G24" s="25"/>
      <c r="H24" s="25"/>
      <c r="I24" s="25"/>
      <c r="J24" s="26"/>
      <c r="K24" s="26"/>
      <c r="L24" s="26"/>
      <c r="M24" s="26"/>
      <c r="N24" s="26"/>
      <c r="O24" s="26"/>
      <c r="P24" s="26"/>
      <c r="Q24" s="26"/>
      <c r="R24" s="65"/>
      <c r="S24" s="27"/>
      <c r="T24" s="42"/>
      <c r="U24" s="27"/>
      <c r="V24" s="27"/>
      <c r="W24" s="27"/>
      <c r="X24" s="27"/>
      <c r="Y24" s="27"/>
      <c r="Z24" s="27"/>
    </row>
    <row r="25" spans="1:26" x14ac:dyDescent="0.25">
      <c r="A25" s="24"/>
      <c r="B25" s="24"/>
      <c r="C25" s="25"/>
      <c r="D25" s="25"/>
      <c r="E25" s="25"/>
      <c r="F25" s="25"/>
      <c r="G25" s="25"/>
      <c r="H25" s="25"/>
      <c r="I25" s="25"/>
      <c r="J25" s="26"/>
      <c r="K25" s="26"/>
      <c r="L25" s="26"/>
      <c r="M25" s="26"/>
      <c r="N25" s="26"/>
      <c r="O25" s="26"/>
      <c r="P25" s="26"/>
      <c r="Q25" s="26"/>
      <c r="R25" s="65"/>
      <c r="S25" s="27"/>
      <c r="T25" s="42"/>
      <c r="U25" s="27"/>
      <c r="V25" s="27"/>
      <c r="W25" s="27"/>
      <c r="X25" s="27"/>
      <c r="Y25" s="27"/>
      <c r="Z25" s="27"/>
    </row>
    <row r="26" spans="1:26" x14ac:dyDescent="0.25">
      <c r="A26" s="24"/>
      <c r="B26" s="24"/>
      <c r="C26" s="25"/>
      <c r="D26" s="25"/>
      <c r="E26" s="25"/>
      <c r="F26" s="25"/>
      <c r="G26" s="25"/>
      <c r="H26" s="25"/>
      <c r="I26" s="25"/>
      <c r="J26" s="26"/>
      <c r="K26" s="26"/>
      <c r="L26" s="26"/>
      <c r="M26" s="26"/>
      <c r="N26" s="26"/>
      <c r="O26" s="26"/>
      <c r="P26" s="26"/>
      <c r="Q26" s="26"/>
      <c r="R26" s="65"/>
      <c r="S26" s="27"/>
      <c r="T26" s="42"/>
      <c r="U26" s="27"/>
      <c r="V26" s="27"/>
      <c r="W26" s="27"/>
      <c r="X26" s="27"/>
      <c r="Y26" s="27"/>
      <c r="Z26" s="27"/>
    </row>
    <row r="27" spans="1:26" x14ac:dyDescent="0.25">
      <c r="A27" s="24"/>
      <c r="B27" s="24"/>
      <c r="C27" s="25"/>
      <c r="D27" s="25"/>
      <c r="E27" s="25"/>
      <c r="F27" s="25"/>
      <c r="G27" s="25"/>
      <c r="H27" s="25"/>
      <c r="I27" s="25"/>
      <c r="J27" s="26"/>
      <c r="K27" s="26"/>
      <c r="L27" s="26"/>
      <c r="M27" s="26"/>
      <c r="N27" s="26"/>
      <c r="O27" s="26"/>
      <c r="P27" s="26"/>
      <c r="Q27" s="26"/>
      <c r="R27" s="65"/>
      <c r="S27" s="27"/>
      <c r="T27" s="42"/>
      <c r="U27" s="27"/>
      <c r="V27" s="27"/>
      <c r="W27" s="27"/>
      <c r="X27" s="27"/>
      <c r="Y27" s="27"/>
      <c r="Z27" s="27"/>
    </row>
    <row r="28" spans="1:26" x14ac:dyDescent="0.25">
      <c r="A28" s="24"/>
      <c r="B28" s="24"/>
      <c r="C28" s="25"/>
      <c r="D28" s="25"/>
      <c r="E28" s="25"/>
      <c r="F28" s="25"/>
      <c r="G28" s="25"/>
      <c r="H28" s="25"/>
      <c r="I28" s="25"/>
      <c r="J28" s="26"/>
      <c r="K28" s="26"/>
      <c r="L28" s="26"/>
      <c r="M28" s="26"/>
      <c r="N28" s="26"/>
      <c r="O28" s="26"/>
      <c r="P28" s="26"/>
      <c r="Q28" s="26"/>
      <c r="R28" s="65"/>
      <c r="S28" s="27"/>
      <c r="T28" s="42"/>
      <c r="U28" s="27"/>
      <c r="V28" s="27"/>
      <c r="W28" s="27"/>
      <c r="X28" s="27"/>
      <c r="Y28" s="27"/>
      <c r="Z28" s="27"/>
    </row>
    <row r="29" spans="1:26" x14ac:dyDescent="0.25">
      <c r="A29" s="24"/>
      <c r="B29" s="24"/>
      <c r="C29" s="25"/>
      <c r="D29" s="25"/>
      <c r="E29" s="25"/>
      <c r="F29" s="25"/>
      <c r="G29" s="25"/>
      <c r="H29" s="25"/>
      <c r="I29" s="25"/>
      <c r="J29" s="26"/>
      <c r="K29" s="26"/>
      <c r="L29" s="26"/>
      <c r="M29" s="26"/>
      <c r="N29" s="26"/>
      <c r="O29" s="26"/>
      <c r="P29" s="26"/>
      <c r="Q29" s="26"/>
      <c r="R29" s="65"/>
      <c r="S29" s="27"/>
      <c r="T29" s="42"/>
      <c r="U29" s="27"/>
      <c r="V29" s="27"/>
      <c r="W29" s="27"/>
      <c r="X29" s="27"/>
      <c r="Y29" s="27"/>
      <c r="Z29" s="27"/>
    </row>
    <row r="30" spans="1:26" x14ac:dyDescent="0.25">
      <c r="A30" s="24"/>
      <c r="B30" s="24"/>
      <c r="C30" s="25"/>
      <c r="D30" s="25"/>
      <c r="E30" s="25"/>
      <c r="F30" s="25"/>
      <c r="G30" s="25"/>
      <c r="H30" s="25"/>
      <c r="I30" s="25"/>
      <c r="J30" s="26"/>
      <c r="K30" s="26"/>
      <c r="L30" s="26"/>
      <c r="M30" s="26"/>
      <c r="N30" s="26"/>
      <c r="O30" s="26"/>
      <c r="P30" s="26"/>
      <c r="Q30" s="26"/>
      <c r="R30" s="65"/>
      <c r="S30" s="27"/>
      <c r="T30" s="42"/>
      <c r="U30" s="27"/>
      <c r="V30" s="27"/>
      <c r="W30" s="27"/>
      <c r="X30" s="27"/>
      <c r="Y30" s="27"/>
      <c r="Z30" s="27"/>
    </row>
  </sheetData>
  <mergeCells count="6">
    <mergeCell ref="A3:A4"/>
    <mergeCell ref="J3:Q3"/>
    <mergeCell ref="C1:BB1"/>
    <mergeCell ref="A2:X2"/>
    <mergeCell ref="C3:I3"/>
    <mergeCell ref="R3:Z3"/>
  </mergeCells>
  <pageMargins left="0.75" right="0.75" top="1" bottom="1" header="0.511811023622047" footer="0.511811023622047"/>
  <pageSetup paperSize="9" scale="23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B1F6-3411-4B3A-9507-4E0B7D191077}">
  <sheetPr>
    <pageSetUpPr fitToPage="1"/>
  </sheetPr>
  <dimension ref="A1:AX27"/>
  <sheetViews>
    <sheetView showGridLines="0" tabSelected="1" view="pageBreakPreview" zoomScale="115" zoomScaleNormal="120" zoomScaleSheetLayoutView="115" workbookViewId="0">
      <selection activeCell="S4" sqref="S4"/>
    </sheetView>
  </sheetViews>
  <sheetFormatPr defaultColWidth="8.7109375" defaultRowHeight="15" x14ac:dyDescent="0.25"/>
  <cols>
    <col min="1" max="1" width="12.7109375" style="5" customWidth="1"/>
    <col min="2" max="2" width="3.28515625" style="5" hidden="1" customWidth="1"/>
    <col min="3" max="6" width="15.140625" style="5" customWidth="1"/>
    <col min="7" max="7" width="12.140625" style="5" customWidth="1"/>
    <col min="8" max="8" width="8.85546875" style="5" customWidth="1"/>
    <col min="9" max="9" width="12.28515625" style="5" bestFit="1" customWidth="1"/>
    <col min="10" max="10" width="6.85546875" style="5" customWidth="1"/>
    <col min="11" max="11" width="5.85546875" style="5" hidden="1" customWidth="1"/>
    <col min="12" max="12" width="11.42578125" style="5" customWidth="1"/>
    <col min="13" max="13" width="12.28515625" style="5" bestFit="1" customWidth="1"/>
    <col min="14" max="14" width="8.28515625" style="5" customWidth="1"/>
    <col min="15" max="15" width="13.5703125" style="5" bestFit="1" customWidth="1"/>
    <col min="16" max="16" width="11.42578125" style="5" customWidth="1"/>
    <col min="17" max="17" width="8" style="5" hidden="1" customWidth="1"/>
    <col min="18" max="18" width="8.28515625" style="5" bestFit="1" customWidth="1"/>
    <col min="19" max="19" width="8.28515625" style="5" customWidth="1"/>
    <col min="20" max="20" width="12.28515625" style="59" bestFit="1" customWidth="1"/>
    <col min="21" max="21" width="12.140625" style="59" bestFit="1" customWidth="1"/>
    <col min="22" max="22" width="12.28515625" style="59" customWidth="1"/>
    <col min="23" max="23" width="11.140625" style="59" customWidth="1"/>
    <col min="24" max="24" width="6" style="59" hidden="1" customWidth="1"/>
    <col min="25" max="25" width="12.28515625" style="59" customWidth="1"/>
    <col min="26" max="29" width="10" style="5" customWidth="1"/>
    <col min="30" max="31" width="15.85546875" style="5" customWidth="1"/>
    <col min="32" max="32" width="19.28515625" style="5" customWidth="1"/>
    <col min="33" max="34" width="14" style="5" customWidth="1"/>
    <col min="35" max="35" width="17.42578125" style="5" customWidth="1"/>
    <col min="36" max="39" width="18" style="5" customWidth="1"/>
    <col min="40" max="41" width="16" style="5" customWidth="1"/>
    <col min="42" max="42" width="15" style="5" customWidth="1"/>
    <col min="43" max="43" width="12" style="5" customWidth="1"/>
    <col min="44" max="45" width="13" style="5" customWidth="1"/>
    <col min="46" max="46" width="12" style="5" customWidth="1"/>
    <col min="47" max="47" width="14" style="5" customWidth="1"/>
    <col min="48" max="48" width="36.85546875" style="5" customWidth="1"/>
    <col min="49" max="16384" width="8.7109375" style="5"/>
  </cols>
  <sheetData>
    <row r="1" spans="1:50" ht="39" customHeight="1" thickBot="1" x14ac:dyDescent="0.3">
      <c r="A1" s="83"/>
      <c r="B1" s="84"/>
      <c r="C1" s="84"/>
      <c r="D1" s="184" t="s">
        <v>372</v>
      </c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</row>
    <row r="2" spans="1:50" s="7" customFormat="1" ht="18.75" hidden="1" x14ac:dyDescent="0.25">
      <c r="A2" s="167" t="s">
        <v>176</v>
      </c>
      <c r="B2" s="168"/>
      <c r="C2" s="113"/>
      <c r="D2" s="113"/>
      <c r="E2" s="113"/>
      <c r="F2" s="113"/>
      <c r="G2" s="175" t="s">
        <v>0</v>
      </c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16"/>
      <c r="T2" s="173" t="s">
        <v>1</v>
      </c>
      <c r="U2" s="173"/>
      <c r="V2" s="173"/>
      <c r="W2" s="173"/>
      <c r="X2" s="173"/>
      <c r="Y2" s="174"/>
      <c r="Z2" s="169"/>
      <c r="AA2" s="169"/>
      <c r="AB2" s="169"/>
      <c r="AC2" s="169"/>
      <c r="AD2" s="169"/>
      <c r="AE2" s="169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50" s="38" customFormat="1" ht="15" customHeight="1" x14ac:dyDescent="0.2">
      <c r="A3" s="200" t="s">
        <v>2</v>
      </c>
      <c r="B3" s="78"/>
      <c r="C3" s="188" t="s">
        <v>335</v>
      </c>
      <c r="D3" s="188" t="s">
        <v>336</v>
      </c>
      <c r="E3" s="188" t="s">
        <v>337</v>
      </c>
      <c r="F3" s="188" t="s">
        <v>348</v>
      </c>
      <c r="G3" s="190" t="s">
        <v>174</v>
      </c>
      <c r="H3" s="191"/>
      <c r="I3" s="191"/>
      <c r="J3" s="191"/>
      <c r="K3" s="191"/>
      <c r="L3" s="191"/>
      <c r="M3" s="192" t="s">
        <v>175</v>
      </c>
      <c r="N3" s="193"/>
      <c r="O3" s="193"/>
      <c r="P3" s="193"/>
      <c r="Q3" s="193"/>
      <c r="R3" s="193"/>
      <c r="S3" s="194"/>
      <c r="T3" s="163" t="s">
        <v>6</v>
      </c>
      <c r="U3" s="163"/>
      <c r="V3" s="163"/>
      <c r="W3" s="163"/>
      <c r="X3" s="163"/>
      <c r="Y3" s="196"/>
      <c r="Z3" s="197" t="s">
        <v>186</v>
      </c>
      <c r="AA3" s="198"/>
      <c r="AB3" s="198"/>
      <c r="AC3" s="199"/>
      <c r="AD3" s="158" t="s">
        <v>188</v>
      </c>
      <c r="AE3" s="158"/>
      <c r="AF3" s="195" t="s">
        <v>187</v>
      </c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</row>
    <row r="4" spans="1:50" ht="43.15" customHeight="1" x14ac:dyDescent="0.25">
      <c r="A4" s="200"/>
      <c r="B4" s="176" t="s">
        <v>157</v>
      </c>
      <c r="C4" s="189"/>
      <c r="D4" s="189"/>
      <c r="E4" s="189"/>
      <c r="F4" s="189"/>
      <c r="G4" s="63" t="s">
        <v>170</v>
      </c>
      <c r="H4" s="63" t="s">
        <v>171</v>
      </c>
      <c r="I4" s="63" t="s">
        <v>173</v>
      </c>
      <c r="J4" s="63" t="s">
        <v>172</v>
      </c>
      <c r="K4" s="63" t="s">
        <v>16</v>
      </c>
      <c r="L4" s="64" t="s">
        <v>17</v>
      </c>
      <c r="M4" s="14" t="s">
        <v>170</v>
      </c>
      <c r="N4" s="39" t="s">
        <v>171</v>
      </c>
      <c r="O4" s="39" t="s">
        <v>173</v>
      </c>
      <c r="P4" s="39" t="s">
        <v>172</v>
      </c>
      <c r="Q4" s="39" t="s">
        <v>16</v>
      </c>
      <c r="R4" s="39" t="s">
        <v>17</v>
      </c>
      <c r="S4" s="39" t="s">
        <v>374</v>
      </c>
      <c r="T4" s="41" t="s">
        <v>170</v>
      </c>
      <c r="U4" s="41" t="s">
        <v>184</v>
      </c>
      <c r="V4" s="41" t="s">
        <v>173</v>
      </c>
      <c r="W4" s="41" t="s">
        <v>172</v>
      </c>
      <c r="X4" s="17" t="s">
        <v>16</v>
      </c>
      <c r="Y4" s="87" t="s">
        <v>17</v>
      </c>
      <c r="Z4" s="85" t="s">
        <v>18</v>
      </c>
      <c r="AA4" s="8" t="s">
        <v>19</v>
      </c>
      <c r="AB4" s="8" t="s">
        <v>20</v>
      </c>
      <c r="AC4" s="8" t="s">
        <v>21</v>
      </c>
      <c r="AD4" s="19" t="s">
        <v>22</v>
      </c>
      <c r="AE4" s="19" t="s">
        <v>23</v>
      </c>
      <c r="AF4" s="118" t="s">
        <v>189</v>
      </c>
      <c r="AG4" s="119" t="s">
        <v>354</v>
      </c>
      <c r="AH4" s="119" t="s">
        <v>185</v>
      </c>
      <c r="AI4" s="119" t="s">
        <v>355</v>
      </c>
      <c r="AJ4" s="119" t="s">
        <v>356</v>
      </c>
      <c r="AK4" s="119" t="s">
        <v>358</v>
      </c>
      <c r="AL4" s="119" t="s">
        <v>366</v>
      </c>
      <c r="AM4" s="119" t="s">
        <v>367</v>
      </c>
      <c r="AN4" s="119" t="s">
        <v>360</v>
      </c>
      <c r="AO4" s="119" t="s">
        <v>363</v>
      </c>
      <c r="AP4" s="119" t="s">
        <v>359</v>
      </c>
      <c r="AQ4" s="119" t="s">
        <v>361</v>
      </c>
      <c r="AR4" s="119" t="s">
        <v>362</v>
      </c>
      <c r="AS4" s="119" t="s">
        <v>365</v>
      </c>
      <c r="AT4" s="119" t="s">
        <v>364</v>
      </c>
      <c r="AU4" s="119" t="s">
        <v>32</v>
      </c>
      <c r="AV4" s="119" t="s">
        <v>33</v>
      </c>
    </row>
    <row r="5" spans="1:50" ht="14.45" hidden="1" customHeight="1" x14ac:dyDescent="0.25">
      <c r="A5" s="88"/>
      <c r="B5" s="176"/>
      <c r="C5" s="114"/>
      <c r="D5" s="114"/>
      <c r="E5" s="114"/>
      <c r="F5" s="114"/>
      <c r="G5" s="13"/>
      <c r="H5" s="13"/>
      <c r="I5" s="13"/>
      <c r="J5" s="13"/>
      <c r="K5" s="21"/>
      <c r="L5" s="21"/>
      <c r="M5" s="14"/>
      <c r="N5" s="14"/>
      <c r="O5" s="14"/>
      <c r="P5" s="14"/>
      <c r="Q5" s="22"/>
      <c r="R5" s="22"/>
      <c r="S5" s="22"/>
      <c r="T5" s="16"/>
      <c r="U5" s="16"/>
      <c r="V5" s="16"/>
      <c r="W5" s="16"/>
      <c r="X5" s="21"/>
      <c r="Y5" s="20"/>
      <c r="Z5" s="85"/>
      <c r="AA5" s="8"/>
      <c r="AB5" s="8"/>
      <c r="AC5" s="8"/>
      <c r="AD5" s="23" t="str">
        <f t="shared" ref="AD5" si="0">IF(AB5&gt;=10,"ETAPA 1: CALIBRAR TOPSIDE vs SEP. TESTE","")</f>
        <v/>
      </c>
      <c r="AE5" s="23" t="str">
        <f t="shared" ref="AE5" si="1">IF(AND(AB5&gt;=10,AB5&gt;=20),"ETAPA 2: CALIBRAR SUBSEA vs SEP. TESTE","")</f>
        <v/>
      </c>
      <c r="AF5" s="23"/>
      <c r="AG5" s="117"/>
      <c r="AH5" s="117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</row>
    <row r="6" spans="1:50" x14ac:dyDescent="0.25">
      <c r="A6" s="89"/>
      <c r="B6" s="24"/>
      <c r="C6" s="138"/>
      <c r="D6" s="138"/>
      <c r="E6" s="138"/>
      <c r="F6" s="138"/>
      <c r="G6" s="72"/>
      <c r="H6" s="72"/>
      <c r="I6" s="71"/>
      <c r="J6" s="71"/>
      <c r="K6" s="72"/>
      <c r="L6" s="72"/>
      <c r="M6" s="30"/>
      <c r="N6" s="30"/>
      <c r="O6" s="31"/>
      <c r="P6" s="31"/>
      <c r="Q6" s="32"/>
      <c r="R6" s="32"/>
      <c r="S6" s="32"/>
      <c r="T6" s="33"/>
      <c r="U6" s="33"/>
      <c r="V6" s="34"/>
      <c r="W6" s="34"/>
      <c r="X6" s="33"/>
      <c r="Y6" s="90"/>
      <c r="Z6" s="86"/>
      <c r="AA6" s="35"/>
      <c r="AB6" s="35"/>
      <c r="AC6" s="35"/>
      <c r="AD6" s="31"/>
      <c r="AE6" s="31"/>
      <c r="AF6" s="120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37"/>
    </row>
    <row r="7" spans="1:50" x14ac:dyDescent="0.25">
      <c r="A7" s="89"/>
      <c r="B7" s="24"/>
      <c r="C7" s="138"/>
      <c r="D7" s="138"/>
      <c r="E7" s="138"/>
      <c r="F7" s="138"/>
      <c r="G7" s="72"/>
      <c r="H7" s="72"/>
      <c r="I7" s="71"/>
      <c r="J7" s="71"/>
      <c r="K7" s="72"/>
      <c r="L7" s="72"/>
      <c r="M7" s="30"/>
      <c r="N7" s="30"/>
      <c r="O7" s="31"/>
      <c r="P7" s="31"/>
      <c r="Q7" s="32"/>
      <c r="R7" s="32"/>
      <c r="S7" s="32"/>
      <c r="T7" s="33"/>
      <c r="U7" s="33"/>
      <c r="V7" s="34"/>
      <c r="W7" s="34"/>
      <c r="X7" s="33"/>
      <c r="Y7" s="90"/>
      <c r="Z7" s="86"/>
      <c r="AA7" s="35"/>
      <c r="AB7" s="35"/>
      <c r="AC7" s="35"/>
      <c r="AD7" s="31"/>
      <c r="AE7" s="31"/>
      <c r="AF7" s="120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37"/>
    </row>
    <row r="8" spans="1:50" x14ac:dyDescent="0.25">
      <c r="A8" s="89"/>
      <c r="B8" s="24"/>
      <c r="C8" s="138"/>
      <c r="D8" s="138"/>
      <c r="E8" s="138"/>
      <c r="F8" s="138"/>
      <c r="G8" s="72"/>
      <c r="H8" s="72"/>
      <c r="I8" s="71"/>
      <c r="J8" s="71"/>
      <c r="K8" s="72"/>
      <c r="L8" s="72"/>
      <c r="M8" s="30"/>
      <c r="N8" s="30"/>
      <c r="O8" s="31"/>
      <c r="P8" s="31"/>
      <c r="Q8" s="32"/>
      <c r="R8" s="32"/>
      <c r="S8" s="32"/>
      <c r="T8" s="33"/>
      <c r="U8" s="33"/>
      <c r="V8" s="34"/>
      <c r="W8" s="34"/>
      <c r="X8" s="33"/>
      <c r="Y8" s="90"/>
      <c r="Z8" s="86"/>
      <c r="AA8" s="35"/>
      <c r="AB8" s="35"/>
      <c r="AC8" s="35"/>
      <c r="AD8" s="31"/>
      <c r="AE8" s="31"/>
      <c r="AF8" s="120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37"/>
    </row>
    <row r="9" spans="1:50" x14ac:dyDescent="0.25">
      <c r="A9" s="89"/>
      <c r="B9" s="24"/>
      <c r="C9" s="138"/>
      <c r="D9" s="138"/>
      <c r="E9" s="138"/>
      <c r="F9" s="138"/>
      <c r="G9" s="72"/>
      <c r="H9" s="72"/>
      <c r="I9" s="71"/>
      <c r="J9" s="71"/>
      <c r="K9" s="72"/>
      <c r="L9" s="72"/>
      <c r="M9" s="30"/>
      <c r="N9" s="30"/>
      <c r="O9" s="31"/>
      <c r="P9" s="31"/>
      <c r="Q9" s="32"/>
      <c r="R9" s="32"/>
      <c r="S9" s="32"/>
      <c r="T9" s="33"/>
      <c r="U9" s="33"/>
      <c r="V9" s="34"/>
      <c r="W9" s="34"/>
      <c r="X9" s="33"/>
      <c r="Y9" s="90"/>
      <c r="Z9" s="86"/>
      <c r="AA9" s="35"/>
      <c r="AB9" s="35"/>
      <c r="AC9" s="35"/>
      <c r="AD9" s="31"/>
      <c r="AE9" s="31"/>
      <c r="AF9" s="120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37"/>
    </row>
    <row r="10" spans="1:50" x14ac:dyDescent="0.25">
      <c r="A10" s="89"/>
      <c r="B10" s="24"/>
      <c r="C10" s="138"/>
      <c r="D10" s="138"/>
      <c r="E10" s="138"/>
      <c r="F10" s="138"/>
      <c r="G10" s="72"/>
      <c r="H10" s="72"/>
      <c r="I10" s="71"/>
      <c r="J10" s="71"/>
      <c r="K10" s="72"/>
      <c r="L10" s="72"/>
      <c r="M10" s="30"/>
      <c r="N10" s="30"/>
      <c r="O10" s="31"/>
      <c r="P10" s="31"/>
      <c r="Q10" s="32"/>
      <c r="R10" s="32"/>
      <c r="S10" s="32"/>
      <c r="T10" s="33"/>
      <c r="U10" s="33"/>
      <c r="V10" s="34"/>
      <c r="W10" s="34"/>
      <c r="X10" s="33"/>
      <c r="Y10" s="90"/>
      <c r="Z10" s="86"/>
      <c r="AA10" s="35"/>
      <c r="AB10" s="35"/>
      <c r="AC10" s="35"/>
      <c r="AD10" s="31"/>
      <c r="AE10" s="31"/>
      <c r="AF10" s="120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37"/>
    </row>
    <row r="11" spans="1:50" x14ac:dyDescent="0.25">
      <c r="A11" s="89"/>
      <c r="B11" s="24"/>
      <c r="C11" s="138"/>
      <c r="D11" s="138"/>
      <c r="E11" s="138"/>
      <c r="F11" s="138"/>
      <c r="G11" s="72"/>
      <c r="H11" s="72"/>
      <c r="I11" s="71"/>
      <c r="J11" s="71"/>
      <c r="K11" s="72"/>
      <c r="L11" s="72"/>
      <c r="M11" s="30"/>
      <c r="N11" s="30"/>
      <c r="O11" s="31"/>
      <c r="P11" s="31"/>
      <c r="Q11" s="32"/>
      <c r="R11" s="32"/>
      <c r="S11" s="32"/>
      <c r="T11" s="33"/>
      <c r="U11" s="33"/>
      <c r="V11" s="34"/>
      <c r="W11" s="34"/>
      <c r="X11" s="33"/>
      <c r="Y11" s="90"/>
      <c r="Z11" s="86"/>
      <c r="AA11" s="35"/>
      <c r="AB11" s="35"/>
      <c r="AC11" s="35"/>
      <c r="AD11" s="31"/>
      <c r="AE11" s="31"/>
      <c r="AF11" s="120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37"/>
    </row>
    <row r="12" spans="1:50" x14ac:dyDescent="0.25">
      <c r="A12" s="89"/>
      <c r="B12" s="24"/>
      <c r="C12" s="138"/>
      <c r="D12" s="138"/>
      <c r="E12" s="138"/>
      <c r="F12" s="138"/>
      <c r="G12" s="72"/>
      <c r="H12" s="72"/>
      <c r="I12" s="71"/>
      <c r="J12" s="71"/>
      <c r="K12" s="72"/>
      <c r="L12" s="72"/>
      <c r="M12" s="30"/>
      <c r="N12" s="30"/>
      <c r="O12" s="31"/>
      <c r="P12" s="31"/>
      <c r="Q12" s="32"/>
      <c r="R12" s="32"/>
      <c r="S12" s="32"/>
      <c r="T12" s="33"/>
      <c r="U12" s="33"/>
      <c r="V12" s="34"/>
      <c r="W12" s="34"/>
      <c r="X12" s="33"/>
      <c r="Y12" s="90"/>
      <c r="Z12" s="86"/>
      <c r="AA12" s="35"/>
      <c r="AB12" s="35"/>
      <c r="AC12" s="35"/>
      <c r="AD12" s="31"/>
      <c r="AE12" s="31"/>
      <c r="AF12" s="120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37"/>
    </row>
    <row r="13" spans="1:50" x14ac:dyDescent="0.25">
      <c r="A13" s="89"/>
      <c r="B13" s="24"/>
      <c r="C13" s="138"/>
      <c r="D13" s="138"/>
      <c r="E13" s="138"/>
      <c r="F13" s="138"/>
      <c r="G13" s="72"/>
      <c r="H13" s="72"/>
      <c r="I13" s="71"/>
      <c r="J13" s="71"/>
      <c r="K13" s="72"/>
      <c r="L13" s="72"/>
      <c r="M13" s="30"/>
      <c r="N13" s="30"/>
      <c r="O13" s="31"/>
      <c r="P13" s="31"/>
      <c r="Q13" s="32"/>
      <c r="R13" s="32"/>
      <c r="S13" s="32"/>
      <c r="T13" s="33"/>
      <c r="U13" s="33"/>
      <c r="V13" s="34"/>
      <c r="W13" s="34"/>
      <c r="X13" s="33"/>
      <c r="Y13" s="90"/>
      <c r="Z13" s="86"/>
      <c r="AA13" s="35"/>
      <c r="AB13" s="35"/>
      <c r="AC13" s="35"/>
      <c r="AD13" s="31"/>
      <c r="AE13" s="31"/>
      <c r="AF13" s="120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37"/>
    </row>
    <row r="14" spans="1:50" x14ac:dyDescent="0.25">
      <c r="A14" s="89"/>
      <c r="B14" s="24"/>
      <c r="C14" s="138"/>
      <c r="D14" s="138"/>
      <c r="E14" s="138"/>
      <c r="F14" s="138"/>
      <c r="G14" s="72"/>
      <c r="H14" s="72"/>
      <c r="I14" s="71"/>
      <c r="J14" s="71"/>
      <c r="K14" s="72"/>
      <c r="L14" s="72"/>
      <c r="M14" s="30"/>
      <c r="N14" s="30"/>
      <c r="O14" s="31"/>
      <c r="P14" s="31"/>
      <c r="Q14" s="32"/>
      <c r="R14" s="32"/>
      <c r="S14" s="32"/>
      <c r="T14" s="33"/>
      <c r="U14" s="33"/>
      <c r="V14" s="34"/>
      <c r="W14" s="34"/>
      <c r="X14" s="33"/>
      <c r="Y14" s="90"/>
      <c r="Z14" s="86"/>
      <c r="AA14" s="35"/>
      <c r="AB14" s="35"/>
      <c r="AC14" s="35"/>
      <c r="AD14" s="31"/>
      <c r="AE14" s="31"/>
      <c r="AF14" s="120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37"/>
    </row>
    <row r="15" spans="1:50" x14ac:dyDescent="0.25">
      <c r="A15" s="89"/>
      <c r="B15" s="24"/>
      <c r="C15" s="138"/>
      <c r="D15" s="138"/>
      <c r="E15" s="138"/>
      <c r="F15" s="138"/>
      <c r="G15" s="72"/>
      <c r="H15" s="72"/>
      <c r="I15" s="71"/>
      <c r="J15" s="71"/>
      <c r="K15" s="72"/>
      <c r="L15" s="72"/>
      <c r="M15" s="30"/>
      <c r="N15" s="30"/>
      <c r="O15" s="31"/>
      <c r="P15" s="31"/>
      <c r="Q15" s="32"/>
      <c r="R15" s="32"/>
      <c r="S15" s="32"/>
      <c r="T15" s="33"/>
      <c r="U15" s="33"/>
      <c r="V15" s="34"/>
      <c r="W15" s="34"/>
      <c r="X15" s="33"/>
      <c r="Y15" s="90"/>
      <c r="Z15" s="86"/>
      <c r="AA15" s="35"/>
      <c r="AB15" s="35"/>
      <c r="AC15" s="35"/>
      <c r="AD15" s="31"/>
      <c r="AE15" s="31"/>
      <c r="AF15" s="120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37"/>
    </row>
    <row r="16" spans="1:50" x14ac:dyDescent="0.25">
      <c r="A16" s="89"/>
      <c r="B16" s="24"/>
      <c r="C16" s="138"/>
      <c r="D16" s="138"/>
      <c r="E16" s="138"/>
      <c r="F16" s="138"/>
      <c r="G16" s="72"/>
      <c r="H16" s="72"/>
      <c r="I16" s="71"/>
      <c r="J16" s="71"/>
      <c r="K16" s="72"/>
      <c r="L16" s="72"/>
      <c r="M16" s="30"/>
      <c r="N16" s="30"/>
      <c r="O16" s="31"/>
      <c r="P16" s="31"/>
      <c r="Q16" s="32"/>
      <c r="R16" s="32"/>
      <c r="S16" s="32"/>
      <c r="T16" s="33"/>
      <c r="U16" s="33"/>
      <c r="V16" s="34"/>
      <c r="W16" s="34"/>
      <c r="X16" s="33"/>
      <c r="Y16" s="90"/>
      <c r="Z16" s="86"/>
      <c r="AA16" s="35"/>
      <c r="AB16" s="35"/>
      <c r="AC16" s="35"/>
      <c r="AD16" s="31"/>
      <c r="AE16" s="31"/>
      <c r="AF16" s="120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37"/>
    </row>
    <row r="17" spans="1:48" x14ac:dyDescent="0.25">
      <c r="A17" s="89"/>
      <c r="B17" s="24"/>
      <c r="C17" s="138"/>
      <c r="D17" s="138"/>
      <c r="E17" s="138"/>
      <c r="F17" s="138"/>
      <c r="G17" s="72"/>
      <c r="H17" s="72"/>
      <c r="I17" s="71"/>
      <c r="J17" s="71"/>
      <c r="K17" s="72"/>
      <c r="L17" s="72"/>
      <c r="M17" s="30"/>
      <c r="N17" s="30"/>
      <c r="O17" s="31"/>
      <c r="P17" s="31"/>
      <c r="Q17" s="32"/>
      <c r="R17" s="32"/>
      <c r="S17" s="32"/>
      <c r="T17" s="33"/>
      <c r="U17" s="33"/>
      <c r="V17" s="34"/>
      <c r="W17" s="34"/>
      <c r="X17" s="33"/>
      <c r="Y17" s="90"/>
      <c r="Z17" s="86"/>
      <c r="AA17" s="35"/>
      <c r="AB17" s="35"/>
      <c r="AC17" s="35"/>
      <c r="AD17" s="31"/>
      <c r="AE17" s="31"/>
      <c r="AF17" s="120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37"/>
    </row>
    <row r="18" spans="1:48" x14ac:dyDescent="0.25">
      <c r="A18" s="89"/>
      <c r="B18" s="24"/>
      <c r="C18" s="138"/>
      <c r="D18" s="138"/>
      <c r="E18" s="138"/>
      <c r="F18" s="138"/>
      <c r="G18" s="72"/>
      <c r="H18" s="72"/>
      <c r="I18" s="71"/>
      <c r="J18" s="71"/>
      <c r="K18" s="72"/>
      <c r="L18" s="72"/>
      <c r="M18" s="30"/>
      <c r="N18" s="30"/>
      <c r="O18" s="31"/>
      <c r="P18" s="31"/>
      <c r="Q18" s="32"/>
      <c r="R18" s="32"/>
      <c r="S18" s="32"/>
      <c r="T18" s="33"/>
      <c r="U18" s="33"/>
      <c r="V18" s="34"/>
      <c r="W18" s="34"/>
      <c r="X18" s="33"/>
      <c r="Y18" s="90"/>
      <c r="Z18" s="86"/>
      <c r="AA18" s="35"/>
      <c r="AB18" s="35"/>
      <c r="AC18" s="35"/>
      <c r="AD18" s="31"/>
      <c r="AE18" s="31"/>
      <c r="AF18" s="120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37"/>
    </row>
    <row r="19" spans="1:48" x14ac:dyDescent="0.25">
      <c r="A19" s="89"/>
      <c r="B19" s="24"/>
      <c r="C19" s="138"/>
      <c r="D19" s="138"/>
      <c r="E19" s="138"/>
      <c r="F19" s="138"/>
      <c r="G19" s="72"/>
      <c r="H19" s="72"/>
      <c r="I19" s="71"/>
      <c r="J19" s="71"/>
      <c r="K19" s="72"/>
      <c r="L19" s="72"/>
      <c r="M19" s="30"/>
      <c r="N19" s="30"/>
      <c r="O19" s="31"/>
      <c r="P19" s="31"/>
      <c r="Q19" s="32"/>
      <c r="R19" s="32"/>
      <c r="S19" s="32"/>
      <c r="T19" s="33"/>
      <c r="U19" s="33"/>
      <c r="V19" s="34"/>
      <c r="W19" s="34"/>
      <c r="X19" s="33"/>
      <c r="Y19" s="90"/>
      <c r="Z19" s="86"/>
      <c r="AA19" s="35"/>
      <c r="AB19" s="35"/>
      <c r="AC19" s="35"/>
      <c r="AD19" s="31"/>
      <c r="AE19" s="31"/>
      <c r="AF19" s="120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37"/>
    </row>
    <row r="20" spans="1:48" x14ac:dyDescent="0.25">
      <c r="A20" s="89"/>
      <c r="B20" s="24"/>
      <c r="C20" s="138"/>
      <c r="D20" s="138"/>
      <c r="E20" s="138"/>
      <c r="F20" s="138"/>
      <c r="G20" s="72"/>
      <c r="H20" s="72"/>
      <c r="I20" s="71"/>
      <c r="J20" s="71"/>
      <c r="K20" s="72"/>
      <c r="L20" s="72"/>
      <c r="M20" s="30"/>
      <c r="N20" s="30"/>
      <c r="O20" s="31"/>
      <c r="P20" s="31"/>
      <c r="Q20" s="32"/>
      <c r="R20" s="32"/>
      <c r="S20" s="32"/>
      <c r="T20" s="33"/>
      <c r="U20" s="33"/>
      <c r="V20" s="34"/>
      <c r="W20" s="34"/>
      <c r="X20" s="33"/>
      <c r="Y20" s="90"/>
      <c r="Z20" s="86"/>
      <c r="AA20" s="35"/>
      <c r="AB20" s="35"/>
      <c r="AC20" s="35"/>
      <c r="AD20" s="31"/>
      <c r="AE20" s="31"/>
      <c r="AF20" s="120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37"/>
    </row>
    <row r="21" spans="1:48" x14ac:dyDescent="0.25">
      <c r="A21" s="89"/>
      <c r="B21" s="24"/>
      <c r="C21" s="138"/>
      <c r="D21" s="138"/>
      <c r="E21" s="138"/>
      <c r="F21" s="138"/>
      <c r="G21" s="72"/>
      <c r="H21" s="72"/>
      <c r="I21" s="71"/>
      <c r="J21" s="71"/>
      <c r="K21" s="72"/>
      <c r="L21" s="72"/>
      <c r="M21" s="30"/>
      <c r="N21" s="30"/>
      <c r="O21" s="31"/>
      <c r="P21" s="31"/>
      <c r="Q21" s="32"/>
      <c r="R21" s="32"/>
      <c r="S21" s="32"/>
      <c r="T21" s="33"/>
      <c r="U21" s="33"/>
      <c r="V21" s="34"/>
      <c r="W21" s="34"/>
      <c r="X21" s="33"/>
      <c r="Y21" s="90"/>
      <c r="Z21" s="86"/>
      <c r="AA21" s="35"/>
      <c r="AB21" s="35"/>
      <c r="AC21" s="35"/>
      <c r="AD21" s="31"/>
      <c r="AE21" s="31"/>
      <c r="AF21" s="120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37"/>
    </row>
    <row r="22" spans="1:48" x14ac:dyDescent="0.25">
      <c r="A22" s="89"/>
      <c r="B22" s="24"/>
      <c r="C22" s="138"/>
      <c r="D22" s="138"/>
      <c r="E22" s="138"/>
      <c r="F22" s="138"/>
      <c r="G22" s="72"/>
      <c r="H22" s="72"/>
      <c r="I22" s="71"/>
      <c r="J22" s="71"/>
      <c r="K22" s="72"/>
      <c r="L22" s="72"/>
      <c r="M22" s="30"/>
      <c r="N22" s="30"/>
      <c r="O22" s="31"/>
      <c r="P22" s="31"/>
      <c r="Q22" s="32"/>
      <c r="R22" s="32"/>
      <c r="S22" s="32"/>
      <c r="T22" s="33"/>
      <c r="U22" s="33"/>
      <c r="V22" s="34"/>
      <c r="W22" s="34"/>
      <c r="X22" s="33"/>
      <c r="Y22" s="90"/>
      <c r="Z22" s="86"/>
      <c r="AA22" s="35"/>
      <c r="AB22" s="35"/>
      <c r="AC22" s="35"/>
      <c r="AD22" s="31"/>
      <c r="AE22" s="31"/>
      <c r="AF22" s="120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37"/>
    </row>
    <row r="23" spans="1:48" x14ac:dyDescent="0.25">
      <c r="A23" s="89"/>
      <c r="B23" s="24"/>
      <c r="C23" s="138"/>
      <c r="D23" s="138"/>
      <c r="E23" s="138"/>
      <c r="F23" s="138"/>
      <c r="G23" s="72"/>
      <c r="H23" s="72"/>
      <c r="I23" s="71"/>
      <c r="J23" s="71"/>
      <c r="K23" s="72"/>
      <c r="L23" s="72"/>
      <c r="M23" s="30"/>
      <c r="N23" s="30"/>
      <c r="O23" s="31"/>
      <c r="P23" s="31"/>
      <c r="Q23" s="32"/>
      <c r="R23" s="32"/>
      <c r="S23" s="32"/>
      <c r="T23" s="33"/>
      <c r="U23" s="33"/>
      <c r="V23" s="34"/>
      <c r="W23" s="34"/>
      <c r="X23" s="33"/>
      <c r="Y23" s="90"/>
      <c r="Z23" s="86"/>
      <c r="AA23" s="35"/>
      <c r="AB23" s="35"/>
      <c r="AC23" s="35"/>
      <c r="AD23" s="31"/>
      <c r="AE23" s="31"/>
      <c r="AF23" s="120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37"/>
    </row>
    <row r="24" spans="1:48" x14ac:dyDescent="0.25">
      <c r="A24" s="89"/>
      <c r="B24" s="24"/>
      <c r="C24" s="138"/>
      <c r="D24" s="138"/>
      <c r="E24" s="138"/>
      <c r="F24" s="138"/>
      <c r="G24" s="72"/>
      <c r="H24" s="72"/>
      <c r="I24" s="71"/>
      <c r="J24" s="71"/>
      <c r="K24" s="72"/>
      <c r="L24" s="72"/>
      <c r="M24" s="30"/>
      <c r="N24" s="30"/>
      <c r="O24" s="31"/>
      <c r="P24" s="31"/>
      <c r="Q24" s="32"/>
      <c r="R24" s="32"/>
      <c r="S24" s="32"/>
      <c r="T24" s="33"/>
      <c r="U24" s="33"/>
      <c r="V24" s="34"/>
      <c r="W24" s="34"/>
      <c r="X24" s="33"/>
      <c r="Y24" s="90"/>
      <c r="Z24" s="86"/>
      <c r="AA24" s="35"/>
      <c r="AB24" s="35"/>
      <c r="AC24" s="35"/>
      <c r="AD24" s="31"/>
      <c r="AE24" s="31"/>
      <c r="AF24" s="120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37"/>
    </row>
    <row r="25" spans="1:48" x14ac:dyDescent="0.25">
      <c r="A25" s="89"/>
      <c r="B25" s="24"/>
      <c r="C25" s="138"/>
      <c r="D25" s="138"/>
      <c r="E25" s="138"/>
      <c r="F25" s="138"/>
      <c r="G25" s="72"/>
      <c r="H25" s="72"/>
      <c r="I25" s="71"/>
      <c r="J25" s="71"/>
      <c r="K25" s="72"/>
      <c r="L25" s="72"/>
      <c r="M25" s="30"/>
      <c r="N25" s="30"/>
      <c r="O25" s="31"/>
      <c r="P25" s="31"/>
      <c r="Q25" s="32"/>
      <c r="R25" s="32"/>
      <c r="S25" s="32"/>
      <c r="T25" s="33"/>
      <c r="U25" s="33"/>
      <c r="V25" s="34"/>
      <c r="W25" s="34"/>
      <c r="X25" s="33"/>
      <c r="Y25" s="90"/>
      <c r="Z25" s="86"/>
      <c r="AA25" s="35"/>
      <c r="AB25" s="35"/>
      <c r="AC25" s="35"/>
      <c r="AD25" s="31"/>
      <c r="AE25" s="31"/>
      <c r="AF25" s="120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37"/>
    </row>
    <row r="26" spans="1:48" x14ac:dyDescent="0.25">
      <c r="A26" s="89"/>
      <c r="B26" s="24"/>
      <c r="C26" s="138"/>
      <c r="D26" s="138"/>
      <c r="E26" s="138"/>
      <c r="F26" s="138"/>
      <c r="G26" s="72"/>
      <c r="H26" s="72"/>
      <c r="I26" s="71"/>
      <c r="J26" s="71"/>
      <c r="K26" s="72"/>
      <c r="L26" s="72"/>
      <c r="M26" s="30"/>
      <c r="N26" s="30"/>
      <c r="O26" s="31"/>
      <c r="P26" s="31"/>
      <c r="Q26" s="32"/>
      <c r="R26" s="32"/>
      <c r="S26" s="32"/>
      <c r="T26" s="33"/>
      <c r="U26" s="33"/>
      <c r="V26" s="34"/>
      <c r="W26" s="34"/>
      <c r="X26" s="33"/>
      <c r="Y26" s="90"/>
      <c r="Z26" s="86"/>
      <c r="AA26" s="35"/>
      <c r="AB26" s="35"/>
      <c r="AC26" s="35"/>
      <c r="AD26" s="31"/>
      <c r="AE26" s="31"/>
      <c r="AF26" s="120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37"/>
    </row>
    <row r="27" spans="1:48" ht="15.75" thickBot="1" x14ac:dyDescent="0.3">
      <c r="A27" s="91"/>
      <c r="B27" s="92"/>
      <c r="C27" s="139"/>
      <c r="D27" s="139"/>
      <c r="E27" s="139"/>
      <c r="F27" s="138"/>
      <c r="G27" s="100"/>
      <c r="H27" s="100"/>
      <c r="I27" s="103"/>
      <c r="J27" s="103"/>
      <c r="K27" s="100"/>
      <c r="L27" s="100"/>
      <c r="M27" s="104"/>
      <c r="N27" s="104"/>
      <c r="O27" s="106"/>
      <c r="P27" s="106"/>
      <c r="Q27" s="107"/>
      <c r="R27" s="107"/>
      <c r="S27" s="107"/>
      <c r="T27" s="108"/>
      <c r="U27" s="108"/>
      <c r="V27" s="111"/>
      <c r="W27" s="111"/>
      <c r="X27" s="108"/>
      <c r="Y27" s="112"/>
      <c r="Z27" s="86"/>
      <c r="AA27" s="35"/>
      <c r="AB27" s="35"/>
      <c r="AC27" s="35"/>
      <c r="AD27" s="31"/>
      <c r="AE27" s="31"/>
      <c r="AF27" s="120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37"/>
    </row>
  </sheetData>
  <mergeCells count="17">
    <mergeCell ref="A3:A4"/>
    <mergeCell ref="F3:F4"/>
    <mergeCell ref="G3:L3"/>
    <mergeCell ref="M3:S3"/>
    <mergeCell ref="D1:AX1"/>
    <mergeCell ref="B4:B5"/>
    <mergeCell ref="D3:D4"/>
    <mergeCell ref="E3:E4"/>
    <mergeCell ref="AF3:AV3"/>
    <mergeCell ref="C3:C4"/>
    <mergeCell ref="T3:Y3"/>
    <mergeCell ref="Z3:AC3"/>
    <mergeCell ref="AD3:AE3"/>
    <mergeCell ref="A2:B2"/>
    <mergeCell ref="G2:R2"/>
    <mergeCell ref="T2:Y2"/>
    <mergeCell ref="Z2:AE2"/>
  </mergeCells>
  <conditionalFormatting sqref="AD5:AF5">
    <cfRule type="expression" dxfId="0" priority="1">
      <formula>LEN(#REF!)&gt;0</formula>
    </cfRule>
  </conditionalFormatting>
  <dataValidations count="2">
    <dataValidation type="list" allowBlank="1" sqref="AG5" xr:uid="{27557C57-8211-4388-9BB9-D76760AF7427}">
      <formula1>"COLETA,PVT,PLANO_ACAO,CONTINGENCIA,ALARME,VERIFICACAO,OUTRO"</formula1>
    </dataValidation>
    <dataValidation type="list" allowBlank="1" sqref="AH7:AH27 AH5" xr:uid="{4D6A9806-2BB1-4643-AFA8-73BF6993B2AF}">
      <formula1>"SUBSEA,TOPSIDE,SISTEMA,LAB,ANP,OUTRO"</formula1>
    </dataValidation>
  </dataValidations>
  <pageMargins left="0.25" right="0.25" top="0.75" bottom="0.75" header="0.3" footer="0.3"/>
  <pageSetup paperSize="9" fitToWidth="0" orientation="landscape" horizontalDpi="300" verticalDpi="300" r:id="rId1"/>
  <headerFooter>
    <oddFooter>&amp;C&amp;"Arial,Regular"&amp;9&amp;P de &amp;N</oddFooter>
  </headerFooter>
  <colBreaks count="2" manualBreakCount="2">
    <brk id="12" max="26" man="1"/>
    <brk id="19" max="26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3FBEFA7-3028-4D8E-BDB7-B2CDDC2DECFB}">
          <x14:formula1>
            <xm:f>Limites_Procedimentos!$L$4:$L$7</xm:f>
          </x14:formula1>
          <xm:sqref>F6:F27</xm:sqref>
        </x14:dataValidation>
        <x14:dataValidation type="list" allowBlank="1" xr:uid="{EE6638D8-8933-4326-AF4C-1E85FF26355D}">
          <x14:formula1>
            <xm:f>Limites_Procedimentos!$F$4:$F$17</xm:f>
          </x14:formula1>
          <xm:sqref>AG6:AG27</xm:sqref>
        </x14:dataValidation>
        <x14:dataValidation type="list" allowBlank="1" xr:uid="{3CACFA96-5FF2-4E22-8CF1-63ABA36BBFC5}">
          <x14:formula1>
            <xm:f>Limites_Procedimentos!$G$4:$G$8</xm:f>
          </x14:formula1>
          <xm:sqref>AH6</xm:sqref>
        </x14:dataValidation>
        <x14:dataValidation type="list" allowBlank="1" showInputMessage="1" showErrorMessage="1" xr:uid="{4E8BDADF-4C5D-40FD-BA5B-27F350C3C5ED}">
          <x14:formula1>
            <xm:f>Limites_Procedimentos!$D$4:$D$14</xm:f>
          </x14:formula1>
          <xm:sqref>AI6</xm:sqref>
        </x14:dataValidation>
        <x14:dataValidation type="list" allowBlank="1" showInputMessage="1" showErrorMessage="1" xr:uid="{8756A40E-8C4E-4D2D-B094-BFF5D753B7B5}">
          <x14:formula1>
            <xm:f>Limites_Procedimentos!$H$4:$H$11</xm:f>
          </x14:formula1>
          <xm:sqref>AJ6:AJ27 AK7:AL27</xm:sqref>
        </x14:dataValidation>
        <x14:dataValidation type="list" allowBlank="1" showInputMessage="1" showErrorMessage="1" xr:uid="{76A9B375-50FE-4C7C-A5B0-DD55E5380639}">
          <x14:formula1>
            <xm:f>Limites_Procedimentos!$I$4:$I$8</xm:f>
          </x14:formula1>
          <xm:sqref>AK6:AL6</xm:sqref>
        </x14:dataValidation>
        <x14:dataValidation type="list" allowBlank="1" showInputMessage="1" showErrorMessage="1" xr:uid="{6FA961F5-71A1-4F97-AA54-8B308866965E}">
          <x14:formula1>
            <xm:f>Limites_Procedimentos!$C$4:$C$7</xm:f>
          </x14:formula1>
          <xm:sqref>AM6:AM27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EE2B-2D12-4310-8333-1525E644A21A}">
  <sheetPr codeName="Sheet2"/>
  <dimension ref="B1:AK58"/>
  <sheetViews>
    <sheetView topLeftCell="C1" workbookViewId="0">
      <selection activeCell="E3" sqref="E3"/>
    </sheetView>
  </sheetViews>
  <sheetFormatPr defaultRowHeight="15" x14ac:dyDescent="0.25"/>
  <cols>
    <col min="2" max="2" width="11.85546875" bestFit="1" customWidth="1"/>
    <col min="3" max="3" width="13.42578125" bestFit="1" customWidth="1"/>
    <col min="4" max="4" width="13.5703125" bestFit="1" customWidth="1"/>
    <col min="10" max="11" width="9.28515625" bestFit="1" customWidth="1"/>
    <col min="12" max="12" width="12.28515625" bestFit="1" customWidth="1"/>
    <col min="13" max="16" width="9.28515625" bestFit="1" customWidth="1"/>
    <col min="19" max="22" width="9.28515625" bestFit="1" customWidth="1"/>
    <col min="31" max="31" width="19.7109375" bestFit="1" customWidth="1"/>
    <col min="32" max="32" width="13.7109375" style="45" bestFit="1" customWidth="1"/>
    <col min="33" max="33" width="10.7109375" style="45" bestFit="1" customWidth="1"/>
  </cols>
  <sheetData>
    <row r="1" spans="2:37" ht="16.5" x14ac:dyDescent="0.25">
      <c r="B1" s="43" t="s">
        <v>53</v>
      </c>
      <c r="C1" s="44" t="s">
        <v>54</v>
      </c>
    </row>
    <row r="2" spans="2:37" ht="16.5" x14ac:dyDescent="0.25">
      <c r="C2" s="46"/>
    </row>
    <row r="3" spans="2:37" x14ac:dyDescent="0.25">
      <c r="I3" s="43"/>
      <c r="J3" s="45" t="s">
        <v>55</v>
      </c>
      <c r="K3" s="47" t="s">
        <v>56</v>
      </c>
      <c r="L3" s="47" t="s">
        <v>57</v>
      </c>
      <c r="M3" s="45" t="s">
        <v>58</v>
      </c>
      <c r="N3" s="45" t="s">
        <v>59</v>
      </c>
      <c r="O3" s="45" t="s">
        <v>60</v>
      </c>
      <c r="P3" s="47"/>
      <c r="Q3" s="48" t="s">
        <v>60</v>
      </c>
      <c r="R3" s="48"/>
      <c r="S3" s="45" t="s">
        <v>61</v>
      </c>
      <c r="T3" s="45" t="s">
        <v>62</v>
      </c>
      <c r="U3" s="45" t="s">
        <v>63</v>
      </c>
      <c r="V3" s="45" t="s">
        <v>63</v>
      </c>
      <c r="W3" t="s">
        <v>64</v>
      </c>
      <c r="X3" s="43" t="s">
        <v>65</v>
      </c>
      <c r="Y3" t="s">
        <v>66</v>
      </c>
      <c r="Z3" t="s">
        <v>67</v>
      </c>
    </row>
    <row r="4" spans="2:37" x14ac:dyDescent="0.25">
      <c r="B4" t="s">
        <v>68</v>
      </c>
      <c r="C4" s="49" t="s">
        <v>60</v>
      </c>
      <c r="D4" s="50" t="s">
        <v>60</v>
      </c>
      <c r="I4" s="43"/>
      <c r="J4" s="45"/>
      <c r="K4" s="47" t="s">
        <v>69</v>
      </c>
      <c r="L4" s="47" t="s">
        <v>70</v>
      </c>
      <c r="M4" s="45" t="s">
        <v>71</v>
      </c>
      <c r="N4" s="45" t="s">
        <v>72</v>
      </c>
      <c r="O4" s="45" t="s">
        <v>73</v>
      </c>
      <c r="P4" s="47" t="s">
        <v>74</v>
      </c>
      <c r="Q4" s="48" t="s">
        <v>73</v>
      </c>
      <c r="R4" s="48" t="s">
        <v>74</v>
      </c>
      <c r="S4" s="45" t="s">
        <v>75</v>
      </c>
      <c r="T4" s="45" t="s">
        <v>75</v>
      </c>
      <c r="U4" s="45"/>
      <c r="V4" s="45"/>
      <c r="W4" s="43" t="s">
        <v>76</v>
      </c>
      <c r="X4" s="43" t="s">
        <v>77</v>
      </c>
      <c r="Y4" s="43" t="s">
        <v>78</v>
      </c>
      <c r="Z4" t="s">
        <v>79</v>
      </c>
    </row>
    <row r="5" spans="2:37" ht="16.5" x14ac:dyDescent="0.25">
      <c r="B5" s="44" t="s">
        <v>80</v>
      </c>
      <c r="C5" s="44">
        <v>0.77100000000000002</v>
      </c>
      <c r="D5" s="44">
        <v>0.77100000000000002</v>
      </c>
      <c r="I5" s="43"/>
      <c r="J5" s="45">
        <v>1</v>
      </c>
      <c r="K5" s="45">
        <v>621.95000000000005</v>
      </c>
      <c r="L5" s="45">
        <v>25.9</v>
      </c>
      <c r="M5" s="45">
        <v>0.81759999999999999</v>
      </c>
      <c r="N5" s="45">
        <v>4.99</v>
      </c>
      <c r="O5" s="45" t="e">
        <v>#NAME?</v>
      </c>
      <c r="P5" s="45" t="e">
        <v>#NAME?</v>
      </c>
      <c r="Q5" s="45" t="e">
        <v>#NAME?</v>
      </c>
      <c r="R5" s="45" t="e">
        <v>#NAME?</v>
      </c>
      <c r="S5" s="45">
        <v>2</v>
      </c>
      <c r="T5" s="45">
        <v>12</v>
      </c>
      <c r="U5" s="45" t="e">
        <v>#NAME?</v>
      </c>
      <c r="V5" s="45"/>
      <c r="W5" s="43">
        <v>9.8000000000000007</v>
      </c>
      <c r="X5" s="43">
        <v>0.5</v>
      </c>
      <c r="Y5" s="43">
        <v>1.1519999999999999</v>
      </c>
      <c r="Z5">
        <v>60</v>
      </c>
    </row>
    <row r="6" spans="2:37" x14ac:dyDescent="0.25">
      <c r="B6" s="43" t="s">
        <v>81</v>
      </c>
      <c r="C6" s="43">
        <v>3.1E-2</v>
      </c>
      <c r="D6" s="43">
        <v>3.1E-2</v>
      </c>
      <c r="I6" s="43"/>
      <c r="J6" s="45">
        <v>2</v>
      </c>
      <c r="K6" s="45">
        <v>621.90200000000004</v>
      </c>
      <c r="L6" s="45">
        <v>25.91</v>
      </c>
      <c r="M6" s="45">
        <v>0.81759999999999999</v>
      </c>
      <c r="N6" s="45">
        <v>4.99</v>
      </c>
      <c r="O6" s="45" t="e">
        <v>#NAME?</v>
      </c>
      <c r="P6" s="45" t="e">
        <v>#NAME?</v>
      </c>
      <c r="Q6" s="45" t="e">
        <v>#NAME?</v>
      </c>
      <c r="R6" s="45" t="e">
        <v>#NAME?</v>
      </c>
      <c r="S6" s="45">
        <v>2</v>
      </c>
      <c r="T6" s="45">
        <v>11.9</v>
      </c>
      <c r="U6" s="45" t="e">
        <v>#NAME?</v>
      </c>
      <c r="V6" s="45"/>
      <c r="W6" s="43">
        <v>9.8000000000000007</v>
      </c>
      <c r="X6" s="43">
        <v>0.6</v>
      </c>
      <c r="Y6" s="43">
        <v>1.157</v>
      </c>
      <c r="Z6">
        <v>60</v>
      </c>
    </row>
    <row r="7" spans="2:37" x14ac:dyDescent="0.25">
      <c r="B7" s="43" t="s">
        <v>82</v>
      </c>
      <c r="C7" s="43">
        <v>0</v>
      </c>
      <c r="D7" s="43">
        <v>0</v>
      </c>
      <c r="I7" s="43"/>
      <c r="J7" s="45">
        <v>3</v>
      </c>
      <c r="K7" s="45">
        <v>621.88</v>
      </c>
      <c r="L7" s="45">
        <v>25.97</v>
      </c>
      <c r="M7" s="45">
        <v>0.81759999999999999</v>
      </c>
      <c r="N7" s="45">
        <v>4.99</v>
      </c>
      <c r="O7" s="45" t="e">
        <v>#NAME?</v>
      </c>
      <c r="P7" s="45" t="e">
        <v>#NAME?</v>
      </c>
      <c r="Q7" s="45" t="e">
        <v>#NAME?</v>
      </c>
      <c r="R7" s="45" t="e">
        <v>#NAME?</v>
      </c>
      <c r="S7" s="45">
        <v>1.9</v>
      </c>
      <c r="T7" s="45">
        <v>12</v>
      </c>
      <c r="U7" s="45" t="e">
        <v>#NAME?</v>
      </c>
      <c r="V7" s="45"/>
      <c r="W7" s="43">
        <v>9.8000000000000007</v>
      </c>
      <c r="X7" s="43">
        <v>0.5</v>
      </c>
      <c r="Y7" s="43">
        <v>1.1619999999999999</v>
      </c>
      <c r="Z7">
        <v>60</v>
      </c>
      <c r="AI7" t="s">
        <v>83</v>
      </c>
      <c r="AJ7">
        <v>52.44</v>
      </c>
      <c r="AK7" t="s">
        <v>84</v>
      </c>
    </row>
    <row r="8" spans="2:37" x14ac:dyDescent="0.25">
      <c r="B8" s="43" t="s">
        <v>85</v>
      </c>
      <c r="C8" s="43">
        <v>84.537000000000006</v>
      </c>
      <c r="D8" s="43">
        <v>84.537000000000006</v>
      </c>
      <c r="I8" s="43"/>
      <c r="J8" s="45">
        <v>4</v>
      </c>
      <c r="K8" s="45">
        <v>621.85199999999998</v>
      </c>
      <c r="L8" s="45">
        <v>26.07</v>
      </c>
      <c r="M8" s="45">
        <v>0.81759999999999999</v>
      </c>
      <c r="N8" s="45">
        <v>4.9800000000000004</v>
      </c>
      <c r="O8" s="45" t="e">
        <v>#NAME?</v>
      </c>
      <c r="P8" s="45" t="e">
        <v>#NAME?</v>
      </c>
      <c r="Q8" s="45" t="e">
        <v>#NAME?</v>
      </c>
      <c r="R8" s="45" t="e">
        <v>#NAME?</v>
      </c>
      <c r="S8" s="45">
        <v>2</v>
      </c>
      <c r="T8" s="45">
        <v>12</v>
      </c>
      <c r="U8" s="45" t="e">
        <v>#NAME?</v>
      </c>
      <c r="V8" s="45"/>
      <c r="W8" s="43">
        <v>9.8000000000000007</v>
      </c>
      <c r="X8" s="43">
        <v>0.5</v>
      </c>
      <c r="Y8" s="43">
        <v>1.165</v>
      </c>
      <c r="Z8">
        <v>60</v>
      </c>
      <c r="AI8" t="s">
        <v>86</v>
      </c>
      <c r="AJ8">
        <v>1.15E-5</v>
      </c>
      <c r="AK8" t="s">
        <v>87</v>
      </c>
    </row>
    <row r="9" spans="2:37" x14ac:dyDescent="0.25">
      <c r="B9" s="43" t="s">
        <v>88</v>
      </c>
      <c r="C9" s="51">
        <v>8.4239999999999995</v>
      </c>
      <c r="D9" s="51">
        <v>8.4214000000000002</v>
      </c>
      <c r="I9" s="43"/>
      <c r="J9" s="45">
        <v>5</v>
      </c>
      <c r="K9" s="45">
        <v>621.88199999999995</v>
      </c>
      <c r="L9" s="45">
        <v>26.32</v>
      </c>
      <c r="M9" s="45">
        <v>0.81759999999999999</v>
      </c>
      <c r="N9" s="45">
        <v>4.9800000000000004</v>
      </c>
      <c r="O9" s="45" t="e">
        <v>#NAME?</v>
      </c>
      <c r="P9" s="45" t="e">
        <v>#NAME?</v>
      </c>
      <c r="Q9" s="45" t="e">
        <v>#NAME?</v>
      </c>
      <c r="R9" s="45" t="e">
        <v>#NAME?</v>
      </c>
      <c r="S9" s="45">
        <v>2</v>
      </c>
      <c r="T9" s="45">
        <v>12</v>
      </c>
      <c r="U9" s="45" t="e">
        <v>#NAME?</v>
      </c>
      <c r="V9" s="45"/>
      <c r="W9" s="43">
        <v>9.8000000000000007</v>
      </c>
      <c r="X9" s="43">
        <v>0.5</v>
      </c>
      <c r="Y9" s="43">
        <v>1.1679999999999999</v>
      </c>
      <c r="Z9">
        <v>60</v>
      </c>
      <c r="AI9" t="s">
        <v>89</v>
      </c>
      <c r="AJ9">
        <v>20</v>
      </c>
      <c r="AK9" t="s">
        <v>90</v>
      </c>
    </row>
    <row r="10" spans="2:37" x14ac:dyDescent="0.25">
      <c r="B10" s="43" t="s">
        <v>91</v>
      </c>
      <c r="C10" s="43">
        <v>3.84</v>
      </c>
      <c r="D10" s="43">
        <v>3.84</v>
      </c>
      <c r="I10" s="43"/>
      <c r="J10" s="45">
        <v>6</v>
      </c>
      <c r="K10" s="45">
        <v>621.971</v>
      </c>
      <c r="L10" s="45">
        <v>26.61</v>
      </c>
      <c r="M10" s="45">
        <v>0.81759999999999999</v>
      </c>
      <c r="N10" s="45">
        <v>4.9800000000000004</v>
      </c>
      <c r="O10" s="45" t="e">
        <v>#NAME?</v>
      </c>
      <c r="P10" s="45" t="e">
        <v>#NAME?</v>
      </c>
      <c r="Q10" s="45" t="e">
        <v>#NAME?</v>
      </c>
      <c r="R10" s="45" t="e">
        <v>#NAME?</v>
      </c>
      <c r="S10" s="45">
        <v>1.9</v>
      </c>
      <c r="T10" s="45">
        <v>12</v>
      </c>
      <c r="U10" s="45" t="e">
        <v>#NAME?</v>
      </c>
      <c r="V10" s="45"/>
      <c r="W10" s="43">
        <v>9.8000000000000007</v>
      </c>
      <c r="X10" s="43">
        <v>0.6</v>
      </c>
      <c r="Y10" s="43">
        <v>1.171</v>
      </c>
      <c r="Z10">
        <v>60</v>
      </c>
    </row>
    <row r="11" spans="2:37" x14ac:dyDescent="0.25">
      <c r="B11" s="43" t="s">
        <v>92</v>
      </c>
      <c r="C11" s="43">
        <v>0.65200000000000002</v>
      </c>
      <c r="D11" s="43">
        <v>0.65200000000000002</v>
      </c>
      <c r="I11" s="43"/>
      <c r="J11" s="45">
        <v>7</v>
      </c>
      <c r="K11" s="45">
        <v>622.01099999999997</v>
      </c>
      <c r="L11" s="45">
        <v>26.97</v>
      </c>
      <c r="M11" s="45">
        <v>0.81759999999999999</v>
      </c>
      <c r="N11" s="45">
        <v>4.97</v>
      </c>
      <c r="O11" s="45" t="e">
        <v>#NAME?</v>
      </c>
      <c r="P11" s="45" t="e">
        <v>#NAME?</v>
      </c>
      <c r="Q11" s="45" t="e">
        <v>#NAME?</v>
      </c>
      <c r="R11" s="45" t="e">
        <v>#NAME?</v>
      </c>
      <c r="S11" s="45">
        <v>2</v>
      </c>
      <c r="T11" s="45">
        <v>12</v>
      </c>
      <c r="U11" s="45" t="e">
        <v>#NAME?</v>
      </c>
      <c r="V11" s="45"/>
      <c r="W11" s="43">
        <v>9.8000000000000007</v>
      </c>
      <c r="X11" s="43">
        <v>0.5</v>
      </c>
      <c r="Y11" s="43">
        <v>1.171</v>
      </c>
      <c r="Z11">
        <v>60</v>
      </c>
      <c r="AI11" t="s">
        <v>93</v>
      </c>
      <c r="AJ11">
        <v>12.64</v>
      </c>
      <c r="AK11" t="s">
        <v>84</v>
      </c>
    </row>
    <row r="12" spans="2:37" x14ac:dyDescent="0.25">
      <c r="B12" s="43" t="s">
        <v>94</v>
      </c>
      <c r="C12" s="43">
        <v>0.97499999999999998</v>
      </c>
      <c r="D12" s="43">
        <v>0.97499999999999998</v>
      </c>
      <c r="I12" s="43"/>
      <c r="J12" s="45">
        <v>8</v>
      </c>
      <c r="K12" s="45">
        <v>622.06500000000005</v>
      </c>
      <c r="L12" s="45">
        <v>27.66</v>
      </c>
      <c r="M12" s="45">
        <v>0.81759999999999999</v>
      </c>
      <c r="N12" s="45">
        <v>4.96</v>
      </c>
      <c r="O12" s="45" t="e">
        <v>#NAME?</v>
      </c>
      <c r="P12" s="45" t="e">
        <v>#NAME?</v>
      </c>
      <c r="Q12" s="45" t="e">
        <v>#NAME?</v>
      </c>
      <c r="R12" s="45" t="e">
        <v>#NAME?</v>
      </c>
      <c r="S12" s="45">
        <v>2</v>
      </c>
      <c r="T12" s="45">
        <v>12</v>
      </c>
      <c r="U12" s="45" t="e">
        <v>#NAME?</v>
      </c>
      <c r="V12" s="45"/>
      <c r="W12" s="43">
        <v>9.8000000000000007</v>
      </c>
      <c r="X12" s="43">
        <v>0.5</v>
      </c>
      <c r="Y12" s="43">
        <v>1.163</v>
      </c>
      <c r="Z12">
        <v>60</v>
      </c>
      <c r="AF12" s="52"/>
      <c r="AI12" t="s">
        <v>95</v>
      </c>
      <c r="AJ12">
        <v>1.6650000000000002E-5</v>
      </c>
      <c r="AK12" t="s">
        <v>87</v>
      </c>
    </row>
    <row r="13" spans="2:37" x14ac:dyDescent="0.25">
      <c r="B13" s="43" t="s">
        <v>96</v>
      </c>
      <c r="C13" s="43">
        <v>0.247</v>
      </c>
      <c r="D13" s="43">
        <v>0.247</v>
      </c>
      <c r="I13" s="43"/>
      <c r="J13" s="45">
        <v>9</v>
      </c>
      <c r="K13" s="45">
        <v>622.09199999999998</v>
      </c>
      <c r="L13" s="45">
        <v>28.33</v>
      </c>
      <c r="M13" s="45">
        <v>0.81759999999999999</v>
      </c>
      <c r="N13" s="45">
        <v>4.95</v>
      </c>
      <c r="O13" s="45" t="e">
        <v>#NAME?</v>
      </c>
      <c r="P13" s="45" t="e">
        <v>#NAME?</v>
      </c>
      <c r="Q13" s="45" t="e">
        <v>#NAME?</v>
      </c>
      <c r="R13" s="45" t="e">
        <v>#NAME?</v>
      </c>
      <c r="S13" s="45">
        <v>2</v>
      </c>
      <c r="T13" s="45">
        <v>11.9</v>
      </c>
      <c r="U13" s="45" t="e">
        <v>#NAME?</v>
      </c>
      <c r="V13" s="45"/>
      <c r="W13" s="43">
        <v>9.8000000000000007</v>
      </c>
      <c r="X13" s="43">
        <v>0.5</v>
      </c>
      <c r="Y13" s="43">
        <v>1.169</v>
      </c>
      <c r="Z13">
        <v>60</v>
      </c>
      <c r="AI13" t="s">
        <v>89</v>
      </c>
      <c r="AJ13">
        <v>20</v>
      </c>
      <c r="AK13" t="s">
        <v>90</v>
      </c>
    </row>
    <row r="14" spans="2:37" x14ac:dyDescent="0.25">
      <c r="B14" s="43" t="s">
        <v>97</v>
      </c>
      <c r="C14" s="43">
        <v>0.23200000000000001</v>
      </c>
      <c r="D14" s="43">
        <v>0.23200000000000001</v>
      </c>
      <c r="I14" s="43"/>
      <c r="J14" s="45">
        <v>10</v>
      </c>
      <c r="K14" s="45">
        <v>622.09500000000003</v>
      </c>
      <c r="L14" s="45">
        <v>29.15</v>
      </c>
      <c r="M14" s="45">
        <v>0.81759999999999999</v>
      </c>
      <c r="N14" s="45">
        <v>4.93</v>
      </c>
      <c r="O14" s="45" t="e">
        <v>#NAME?</v>
      </c>
      <c r="P14" s="45" t="e">
        <v>#NAME?</v>
      </c>
      <c r="Q14" s="45" t="e">
        <v>#NAME?</v>
      </c>
      <c r="R14" s="45" t="e">
        <v>#NAME?</v>
      </c>
      <c r="S14" s="45">
        <v>1.9</v>
      </c>
      <c r="T14" s="45">
        <v>12</v>
      </c>
      <c r="U14" s="45" t="e">
        <v>#NAME?</v>
      </c>
      <c r="V14" s="45"/>
      <c r="W14" s="43">
        <v>9.8000000000000007</v>
      </c>
      <c r="X14" s="43">
        <v>0.5</v>
      </c>
      <c r="Y14" s="43">
        <v>1.169</v>
      </c>
      <c r="Z14">
        <v>60</v>
      </c>
    </row>
    <row r="15" spans="2:37" x14ac:dyDescent="0.25">
      <c r="B15" s="43" t="s">
        <v>98</v>
      </c>
      <c r="C15" s="43">
        <v>0.11700000000000001</v>
      </c>
      <c r="D15" s="43">
        <v>0.11700000000000001</v>
      </c>
      <c r="I15" s="43"/>
      <c r="J15" s="45">
        <v>11</v>
      </c>
      <c r="K15" s="45">
        <v>622.09100000000001</v>
      </c>
      <c r="L15" s="45">
        <v>30.84</v>
      </c>
      <c r="M15" s="45">
        <v>0.81759999999999999</v>
      </c>
      <c r="N15" s="45">
        <v>4.9000000000000004</v>
      </c>
      <c r="O15" s="45" t="e">
        <v>#NAME?</v>
      </c>
      <c r="P15" s="45" t="e">
        <v>#NAME?</v>
      </c>
      <c r="Q15" s="45" t="e">
        <v>#NAME?</v>
      </c>
      <c r="R15" s="45" t="e">
        <v>#NAME?</v>
      </c>
      <c r="S15" s="45">
        <v>2</v>
      </c>
      <c r="T15" s="45">
        <v>11.9</v>
      </c>
      <c r="U15" s="45" t="e">
        <v>#NAME?</v>
      </c>
      <c r="V15" s="45"/>
      <c r="W15" s="43">
        <v>9.6999999999999993</v>
      </c>
      <c r="X15" s="43">
        <v>0.6</v>
      </c>
      <c r="Y15" s="43">
        <v>1.1719999999999999</v>
      </c>
      <c r="Z15">
        <v>60</v>
      </c>
      <c r="AI15" t="s">
        <v>99</v>
      </c>
      <c r="AJ15">
        <v>11.33</v>
      </c>
      <c r="AK15" t="s">
        <v>100</v>
      </c>
    </row>
    <row r="16" spans="2:37" x14ac:dyDescent="0.25">
      <c r="B16" s="43" t="s">
        <v>101</v>
      </c>
      <c r="C16" s="43">
        <v>3.9E-2</v>
      </c>
      <c r="D16" s="43">
        <v>3.9E-2</v>
      </c>
      <c r="I16" s="43"/>
      <c r="J16" s="45">
        <v>12</v>
      </c>
      <c r="K16" s="45">
        <v>622.10799999999995</v>
      </c>
      <c r="L16" s="45">
        <v>31.16</v>
      </c>
      <c r="M16" s="45">
        <v>0.81759999999999999</v>
      </c>
      <c r="N16" s="45">
        <v>4.9000000000000004</v>
      </c>
      <c r="O16" s="45" t="e">
        <v>#NAME?</v>
      </c>
      <c r="P16" s="45" t="e">
        <v>#NAME?</v>
      </c>
      <c r="Q16" s="45" t="e">
        <v>#NAME?</v>
      </c>
      <c r="R16" s="45" t="e">
        <v>#NAME?</v>
      </c>
      <c r="S16" s="45">
        <v>2</v>
      </c>
      <c r="T16" s="45">
        <v>12</v>
      </c>
      <c r="U16" s="45" t="e">
        <v>#NAME?</v>
      </c>
      <c r="V16" s="45"/>
      <c r="W16" s="43">
        <v>9.8000000000000007</v>
      </c>
      <c r="X16" s="43">
        <v>0.5</v>
      </c>
      <c r="Y16" s="43">
        <v>1.1739999999999999</v>
      </c>
      <c r="Z16">
        <v>60</v>
      </c>
      <c r="AI16" t="s">
        <v>102</v>
      </c>
      <c r="AK16" t="s">
        <v>103</v>
      </c>
    </row>
    <row r="17" spans="2:37" x14ac:dyDescent="0.25">
      <c r="B17" s="43" t="s">
        <v>104</v>
      </c>
      <c r="C17" s="43">
        <v>8.6999999999999994E-2</v>
      </c>
      <c r="D17" s="43">
        <v>8.6999999999999994E-2</v>
      </c>
      <c r="I17" s="43"/>
      <c r="J17" s="45">
        <v>13</v>
      </c>
      <c r="K17" s="45">
        <v>622.04499999999996</v>
      </c>
      <c r="L17" s="45">
        <v>32.619999999999997</v>
      </c>
      <c r="M17" s="45">
        <v>0.81759999999999999</v>
      </c>
      <c r="N17" s="45">
        <v>4.87</v>
      </c>
      <c r="O17" s="45" t="e">
        <v>#NAME?</v>
      </c>
      <c r="P17" s="45" t="e">
        <v>#NAME?</v>
      </c>
      <c r="Q17" s="45" t="e">
        <v>#NAME?</v>
      </c>
      <c r="R17" s="45" t="e">
        <v>#NAME?</v>
      </c>
      <c r="S17" s="45">
        <v>2</v>
      </c>
      <c r="T17" s="45">
        <v>11.9</v>
      </c>
      <c r="U17" s="45" t="e">
        <v>#NAME?</v>
      </c>
      <c r="V17" s="45"/>
      <c r="W17" s="43">
        <v>9.6999999999999993</v>
      </c>
      <c r="X17" s="43">
        <v>0.5</v>
      </c>
      <c r="Y17" s="43">
        <v>1.179</v>
      </c>
      <c r="Z17">
        <v>60</v>
      </c>
      <c r="AI17" t="s">
        <v>105</v>
      </c>
      <c r="AJ17">
        <v>20</v>
      </c>
      <c r="AK17" t="s">
        <v>90</v>
      </c>
    </row>
    <row r="18" spans="2:37" x14ac:dyDescent="0.25">
      <c r="B18" s="43" t="s">
        <v>106</v>
      </c>
      <c r="C18" s="43">
        <v>3.4000000000000002E-2</v>
      </c>
      <c r="D18" s="43">
        <v>3.4000000000000002E-2</v>
      </c>
      <c r="I18" s="43"/>
      <c r="J18" s="45">
        <v>14</v>
      </c>
      <c r="K18" s="45">
        <v>621.91399999999999</v>
      </c>
      <c r="L18" s="45">
        <v>34.64</v>
      </c>
      <c r="M18" s="45">
        <v>0.81759999999999999</v>
      </c>
      <c r="N18" s="45">
        <v>4.84</v>
      </c>
      <c r="O18" s="45" t="e">
        <v>#NAME?</v>
      </c>
      <c r="P18" s="45" t="e">
        <v>#NAME?</v>
      </c>
      <c r="Q18" s="45" t="e">
        <v>#NAME?</v>
      </c>
      <c r="R18" s="45" t="e">
        <v>#NAME?</v>
      </c>
      <c r="S18" s="45">
        <v>2</v>
      </c>
      <c r="T18" s="45">
        <v>11.9</v>
      </c>
      <c r="U18" s="45" t="e">
        <v>#NAME?</v>
      </c>
      <c r="V18" s="45"/>
      <c r="W18" s="43">
        <v>9.8000000000000007</v>
      </c>
      <c r="X18" s="43">
        <v>0.5</v>
      </c>
      <c r="Y18" s="43">
        <v>1.181</v>
      </c>
      <c r="Z18">
        <v>60</v>
      </c>
      <c r="AI18" t="s">
        <v>107</v>
      </c>
      <c r="AK18" t="s">
        <v>108</v>
      </c>
    </row>
    <row r="19" spans="2:37" x14ac:dyDescent="0.25">
      <c r="B19" s="43" t="s">
        <v>109</v>
      </c>
      <c r="C19" s="43">
        <v>1.2999999999999999E-2</v>
      </c>
      <c r="D19" s="43">
        <v>1.2999999999999999E-2</v>
      </c>
      <c r="I19" s="43"/>
      <c r="J19" s="45">
        <v>15</v>
      </c>
      <c r="K19" s="45">
        <v>621.83699999999999</v>
      </c>
      <c r="L19" s="45">
        <v>38.21</v>
      </c>
      <c r="M19" s="45">
        <v>0.81759999999999999</v>
      </c>
      <c r="N19" s="45">
        <v>4.78</v>
      </c>
      <c r="O19" s="45" t="e">
        <v>#NAME?</v>
      </c>
      <c r="P19" s="45" t="e">
        <v>#NAME?</v>
      </c>
      <c r="Q19" s="45" t="e">
        <v>#NAME?</v>
      </c>
      <c r="R19" s="45" t="e">
        <v>#NAME?</v>
      </c>
      <c r="S19" s="45">
        <v>2.1</v>
      </c>
      <c r="T19" s="45">
        <v>11.9</v>
      </c>
      <c r="U19" s="45" t="e">
        <v>#NAME?</v>
      </c>
      <c r="V19" s="45"/>
      <c r="W19" s="43">
        <v>9.6999999999999993</v>
      </c>
      <c r="X19" s="43">
        <v>0.5</v>
      </c>
      <c r="Y19" s="43">
        <v>1.1830000000000001</v>
      </c>
      <c r="Z19">
        <v>60</v>
      </c>
      <c r="AI19" t="s">
        <v>110</v>
      </c>
      <c r="AK19" t="s">
        <v>72</v>
      </c>
    </row>
    <row r="20" spans="2:37" x14ac:dyDescent="0.25">
      <c r="I20" s="43"/>
      <c r="J20" s="45">
        <v>16</v>
      </c>
      <c r="K20" s="45">
        <v>621.87900000000002</v>
      </c>
      <c r="L20" s="45">
        <v>39.69</v>
      </c>
      <c r="M20" s="45">
        <v>0.81759999999999999</v>
      </c>
      <c r="N20" s="45">
        <v>4.76</v>
      </c>
      <c r="O20" s="45" t="e">
        <v>#NAME?</v>
      </c>
      <c r="P20" s="45" t="e">
        <v>#NAME?</v>
      </c>
      <c r="Q20" s="45" t="e">
        <v>#NAME?</v>
      </c>
      <c r="R20" s="45" t="e">
        <v>#NAME?</v>
      </c>
      <c r="S20" s="45">
        <v>2</v>
      </c>
      <c r="T20" s="45">
        <v>11.6</v>
      </c>
      <c r="U20" s="45" t="e">
        <v>#NAME?</v>
      </c>
      <c r="V20" s="45"/>
      <c r="W20" s="43">
        <v>9.5</v>
      </c>
      <c r="X20" s="43">
        <v>0.6</v>
      </c>
      <c r="Y20" s="43">
        <v>1.1399999999999999</v>
      </c>
      <c r="Z20">
        <v>60</v>
      </c>
      <c r="AI20" t="s">
        <v>111</v>
      </c>
      <c r="AJ20">
        <v>0.81799999999999995</v>
      </c>
      <c r="AK20" t="s">
        <v>112</v>
      </c>
    </row>
    <row r="21" spans="2:37" x14ac:dyDescent="0.25">
      <c r="I21" s="43"/>
      <c r="J21" s="45">
        <v>17</v>
      </c>
      <c r="K21" s="45">
        <v>621.80799999999999</v>
      </c>
      <c r="L21" s="45">
        <v>39.46</v>
      </c>
      <c r="M21" s="45">
        <v>0.81759999999999999</v>
      </c>
      <c r="N21" s="45">
        <v>4.76</v>
      </c>
      <c r="O21" s="45" t="e">
        <v>#NAME?</v>
      </c>
      <c r="P21" s="45" t="e">
        <v>#NAME?</v>
      </c>
      <c r="Q21" s="45" t="e">
        <v>#NAME?</v>
      </c>
      <c r="R21" s="45" t="e">
        <v>#NAME?</v>
      </c>
      <c r="S21" s="45">
        <v>2</v>
      </c>
      <c r="T21" s="45">
        <v>11.6</v>
      </c>
      <c r="U21" s="45" t="e">
        <v>#NAME?</v>
      </c>
      <c r="V21" s="45"/>
      <c r="W21" s="43">
        <v>9.5</v>
      </c>
      <c r="X21" s="43">
        <v>0.5</v>
      </c>
      <c r="Y21" s="43">
        <v>1.1459999999999999</v>
      </c>
      <c r="Z21">
        <v>60</v>
      </c>
      <c r="AI21" t="s">
        <v>113</v>
      </c>
      <c r="AJ21">
        <v>1.26</v>
      </c>
    </row>
    <row r="22" spans="2:37" x14ac:dyDescent="0.25">
      <c r="I22" s="43"/>
      <c r="J22" s="45">
        <v>18</v>
      </c>
      <c r="K22" s="45">
        <v>621.74599999999998</v>
      </c>
      <c r="L22" s="45">
        <v>35.01</v>
      </c>
      <c r="M22" s="45">
        <v>0.81759999999999999</v>
      </c>
      <c r="N22" s="45">
        <v>4.83</v>
      </c>
      <c r="O22" s="45" t="e">
        <v>#NAME?</v>
      </c>
      <c r="P22" s="45" t="e">
        <v>#NAME?</v>
      </c>
      <c r="Q22" s="45" t="e">
        <v>#NAME?</v>
      </c>
      <c r="R22" s="45" t="e">
        <v>#NAME?</v>
      </c>
      <c r="S22" s="45">
        <v>2</v>
      </c>
      <c r="T22" s="45">
        <v>11.8</v>
      </c>
      <c r="U22" s="45" t="e">
        <v>#NAME?</v>
      </c>
      <c r="V22" s="45"/>
      <c r="W22" s="43">
        <v>9.6</v>
      </c>
      <c r="X22" s="43">
        <v>0.5</v>
      </c>
      <c r="Y22" s="43">
        <v>1.1639999999999999</v>
      </c>
      <c r="Z22">
        <v>60</v>
      </c>
    </row>
    <row r="23" spans="2:37" x14ac:dyDescent="0.25">
      <c r="I23" s="43"/>
      <c r="J23" s="45">
        <v>19</v>
      </c>
      <c r="K23" s="45">
        <v>621.86</v>
      </c>
      <c r="L23" s="45">
        <v>31.68</v>
      </c>
      <c r="M23" s="45">
        <v>0.81759999999999999</v>
      </c>
      <c r="N23" s="45">
        <v>4.8899999999999997</v>
      </c>
      <c r="O23" s="45" t="e">
        <v>#NAME?</v>
      </c>
      <c r="P23" s="45" t="e">
        <v>#NAME?</v>
      </c>
      <c r="Q23" s="45" t="e">
        <v>#NAME?</v>
      </c>
      <c r="R23" s="45" t="e">
        <v>#NAME?</v>
      </c>
      <c r="S23" s="45">
        <v>1.9</v>
      </c>
      <c r="T23" s="45">
        <v>11.9</v>
      </c>
      <c r="U23" s="45" t="e">
        <v>#NAME?</v>
      </c>
      <c r="V23" s="45"/>
      <c r="W23" s="43">
        <v>9.6999999999999993</v>
      </c>
      <c r="X23" s="43">
        <v>0.5</v>
      </c>
      <c r="Y23" s="43">
        <v>1.1619999999999999</v>
      </c>
      <c r="Z23">
        <v>60</v>
      </c>
    </row>
    <row r="24" spans="2:37" x14ac:dyDescent="0.25">
      <c r="I24" s="43"/>
      <c r="J24" s="45">
        <v>20</v>
      </c>
      <c r="K24" s="45">
        <v>622.00699999999995</v>
      </c>
      <c r="L24" s="45">
        <v>29.27</v>
      </c>
      <c r="M24" s="45">
        <v>0.81759999999999999</v>
      </c>
      <c r="N24" s="45">
        <v>4.93</v>
      </c>
      <c r="O24" s="45" t="e">
        <v>#NAME?</v>
      </c>
      <c r="P24" s="45" t="e">
        <v>#NAME?</v>
      </c>
      <c r="Q24" s="45" t="e">
        <v>#NAME?</v>
      </c>
      <c r="R24" s="45" t="e">
        <v>#NAME?</v>
      </c>
      <c r="S24" s="45">
        <v>2</v>
      </c>
      <c r="T24" s="45">
        <v>11.9</v>
      </c>
      <c r="U24" s="45" t="e">
        <v>#NAME?</v>
      </c>
      <c r="V24" s="45"/>
      <c r="W24" s="43">
        <v>9.8000000000000007</v>
      </c>
      <c r="X24" s="43">
        <v>0.5</v>
      </c>
      <c r="Y24" s="43">
        <v>1.165</v>
      </c>
      <c r="Z24">
        <v>60</v>
      </c>
    </row>
    <row r="25" spans="2:37" x14ac:dyDescent="0.25">
      <c r="I25" s="43"/>
      <c r="J25" s="45">
        <v>21</v>
      </c>
      <c r="K25" s="45">
        <v>622.11900000000003</v>
      </c>
      <c r="L25" s="45">
        <v>28</v>
      </c>
      <c r="M25" s="45">
        <v>0.81759999999999999</v>
      </c>
      <c r="N25" s="45">
        <v>4.95</v>
      </c>
      <c r="O25" s="45" t="e">
        <v>#NAME?</v>
      </c>
      <c r="P25" s="45" t="e">
        <v>#NAME?</v>
      </c>
      <c r="Q25" s="45" t="e">
        <v>#NAME?</v>
      </c>
      <c r="R25" s="45" t="e">
        <v>#NAME?</v>
      </c>
      <c r="S25" s="45">
        <v>2</v>
      </c>
      <c r="T25" s="45">
        <v>12</v>
      </c>
      <c r="U25" s="45" t="e">
        <v>#NAME?</v>
      </c>
      <c r="V25" s="45"/>
      <c r="W25" s="43">
        <v>9.8000000000000007</v>
      </c>
      <c r="X25" s="43">
        <v>0.5</v>
      </c>
      <c r="Y25" s="43">
        <v>1.167</v>
      </c>
      <c r="Z25">
        <v>60</v>
      </c>
    </row>
    <row r="26" spans="2:37" x14ac:dyDescent="0.25">
      <c r="I26" s="43"/>
      <c r="J26" s="45">
        <v>22</v>
      </c>
      <c r="K26" s="45">
        <v>622.14800000000002</v>
      </c>
      <c r="L26" s="45">
        <v>27.49</v>
      </c>
      <c r="M26" s="45">
        <v>0.81759999999999999</v>
      </c>
      <c r="N26" s="45">
        <v>4.96</v>
      </c>
      <c r="O26" s="45" t="e">
        <v>#NAME?</v>
      </c>
      <c r="P26" s="45" t="e">
        <v>#NAME?</v>
      </c>
      <c r="Q26" s="45" t="e">
        <v>#NAME?</v>
      </c>
      <c r="R26" s="45" t="e">
        <v>#NAME?</v>
      </c>
      <c r="S26" s="45">
        <v>2</v>
      </c>
      <c r="T26" s="45">
        <v>12</v>
      </c>
      <c r="U26" s="45" t="e">
        <v>#NAME?</v>
      </c>
      <c r="V26" s="45"/>
      <c r="W26" s="43">
        <v>9.8000000000000007</v>
      </c>
      <c r="X26" s="43">
        <v>0.6</v>
      </c>
      <c r="Y26" s="43">
        <v>1.1679999999999999</v>
      </c>
      <c r="Z26">
        <v>60</v>
      </c>
    </row>
    <row r="27" spans="2:37" x14ac:dyDescent="0.25">
      <c r="I27" s="43"/>
      <c r="J27" s="45">
        <v>23</v>
      </c>
      <c r="K27" s="45">
        <v>622.14300000000003</v>
      </c>
      <c r="L27" s="45">
        <v>27.27</v>
      </c>
      <c r="M27" s="45">
        <v>0.81759999999999999</v>
      </c>
      <c r="N27" s="45">
        <v>4.97</v>
      </c>
      <c r="O27" s="45" t="e">
        <v>#NAME?</v>
      </c>
      <c r="P27" s="45" t="e">
        <v>#NAME?</v>
      </c>
      <c r="Q27" s="45" t="e">
        <v>#NAME?</v>
      </c>
      <c r="R27" s="45" t="e">
        <v>#NAME?</v>
      </c>
      <c r="S27" s="45">
        <v>1.9</v>
      </c>
      <c r="T27" s="45">
        <v>12</v>
      </c>
      <c r="U27" s="45" t="e">
        <v>#NAME?</v>
      </c>
      <c r="V27" s="45"/>
      <c r="W27" s="43">
        <v>9.8000000000000007</v>
      </c>
      <c r="X27" s="43">
        <v>0.5</v>
      </c>
      <c r="Y27" s="43">
        <v>1.1679999999999999</v>
      </c>
      <c r="Z27">
        <v>60</v>
      </c>
    </row>
    <row r="28" spans="2:37" x14ac:dyDescent="0.25">
      <c r="I28" s="43"/>
      <c r="J28" s="45">
        <v>24</v>
      </c>
      <c r="K28" s="45">
        <v>622.16600000000005</v>
      </c>
      <c r="L28" s="45">
        <v>27.18</v>
      </c>
      <c r="M28" s="45">
        <v>0.81759999999999999</v>
      </c>
      <c r="N28" s="45">
        <v>4.97</v>
      </c>
      <c r="O28" s="45" t="e">
        <v>#NAME?</v>
      </c>
      <c r="P28" s="45" t="e">
        <v>#NAME?</v>
      </c>
      <c r="Q28" s="45" t="e">
        <v>#NAME?</v>
      </c>
      <c r="R28" s="45" t="e">
        <v>#NAME?</v>
      </c>
      <c r="S28" s="45">
        <v>2</v>
      </c>
      <c r="T28" s="45">
        <v>12</v>
      </c>
      <c r="U28" s="45" t="e">
        <v>#NAME?</v>
      </c>
      <c r="V28" s="45"/>
      <c r="W28" s="43">
        <v>9.8000000000000007</v>
      </c>
      <c r="X28" s="43">
        <v>0.5</v>
      </c>
      <c r="Y28" s="43">
        <v>1.1679999999999999</v>
      </c>
      <c r="Z28">
        <v>60</v>
      </c>
    </row>
    <row r="29" spans="2:37" x14ac:dyDescent="0.25"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</row>
    <row r="30" spans="2:37" x14ac:dyDescent="0.25">
      <c r="B30" t="s">
        <v>114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</row>
    <row r="31" spans="2:37" x14ac:dyDescent="0.25"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</row>
    <row r="32" spans="2:37" x14ac:dyDescent="0.25"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</row>
    <row r="33" spans="10:26" x14ac:dyDescent="0.25">
      <c r="J33" s="45" t="s">
        <v>55</v>
      </c>
      <c r="K33" s="47" t="s">
        <v>56</v>
      </c>
      <c r="L33" s="47" t="s">
        <v>57</v>
      </c>
      <c r="M33" s="45" t="s">
        <v>58</v>
      </c>
      <c r="N33" s="45" t="s">
        <v>59</v>
      </c>
      <c r="O33" s="45"/>
      <c r="P33" s="47"/>
      <c r="Q33" s="48"/>
      <c r="R33" s="48"/>
      <c r="S33" s="45" t="s">
        <v>61</v>
      </c>
      <c r="T33" s="45" t="s">
        <v>62</v>
      </c>
      <c r="U33" s="45" t="s">
        <v>63</v>
      </c>
      <c r="V33" s="45"/>
      <c r="W33" t="s">
        <v>64</v>
      </c>
      <c r="X33" t="s">
        <v>65</v>
      </c>
      <c r="Y33" t="s">
        <v>66</v>
      </c>
      <c r="Z33" t="s">
        <v>67</v>
      </c>
    </row>
    <row r="34" spans="10:26" x14ac:dyDescent="0.25">
      <c r="J34" s="45"/>
      <c r="K34" s="47" t="s">
        <v>69</v>
      </c>
      <c r="L34" s="47" t="s">
        <v>70</v>
      </c>
      <c r="M34" s="45" t="s">
        <v>71</v>
      </c>
      <c r="N34" s="45" t="s">
        <v>72</v>
      </c>
      <c r="O34" s="45"/>
      <c r="P34" s="47"/>
      <c r="Q34" s="48"/>
      <c r="R34" s="48"/>
      <c r="S34" s="45" t="s">
        <v>75</v>
      </c>
      <c r="T34" s="45" t="s">
        <v>75</v>
      </c>
      <c r="U34" s="45"/>
      <c r="V34" s="45"/>
      <c r="W34" t="s">
        <v>77</v>
      </c>
      <c r="X34" t="s">
        <v>78</v>
      </c>
      <c r="Y34" t="s">
        <v>79</v>
      </c>
    </row>
    <row r="35" spans="10:26" x14ac:dyDescent="0.25">
      <c r="J35" s="45">
        <v>1</v>
      </c>
      <c r="K35" s="45">
        <v>622.00300000000004</v>
      </c>
      <c r="L35" s="45">
        <v>25.75</v>
      </c>
      <c r="M35" s="45">
        <v>0.80230000000000001</v>
      </c>
      <c r="N35" s="45">
        <v>4.8899999999999997</v>
      </c>
      <c r="O35" s="45"/>
      <c r="P35" s="45"/>
      <c r="Q35" s="45"/>
      <c r="R35" s="45"/>
      <c r="S35" s="45">
        <v>1.7</v>
      </c>
      <c r="T35" s="45">
        <v>10.4</v>
      </c>
      <c r="U35" s="45"/>
      <c r="V35" s="45"/>
      <c r="W35">
        <v>8.4</v>
      </c>
      <c r="X35">
        <v>0.4</v>
      </c>
      <c r="Y35">
        <v>0.94199999999999995</v>
      </c>
      <c r="Z35">
        <v>60</v>
      </c>
    </row>
    <row r="36" spans="10:26" x14ac:dyDescent="0.25">
      <c r="J36" s="45">
        <v>2</v>
      </c>
      <c r="K36" s="45">
        <v>621.94899999999996</v>
      </c>
      <c r="L36" s="45">
        <v>25.48</v>
      </c>
      <c r="M36" s="45">
        <v>0.80230000000000001</v>
      </c>
      <c r="N36" s="45">
        <v>4.9000000000000004</v>
      </c>
      <c r="O36" s="45"/>
      <c r="P36" s="45"/>
      <c r="Q36" s="45"/>
      <c r="R36" s="45"/>
      <c r="S36" s="45">
        <v>1.7</v>
      </c>
      <c r="T36" s="45">
        <v>10.5</v>
      </c>
      <c r="U36" s="45"/>
      <c r="V36" s="45"/>
      <c r="W36">
        <v>8.4</v>
      </c>
      <c r="X36">
        <v>0.4</v>
      </c>
      <c r="Y36">
        <v>0.95099999999999996</v>
      </c>
      <c r="Z36">
        <v>60</v>
      </c>
    </row>
    <row r="37" spans="10:26" x14ac:dyDescent="0.25">
      <c r="J37" s="45">
        <v>3</v>
      </c>
      <c r="K37" s="45">
        <v>621.88300000000004</v>
      </c>
      <c r="L37" s="45">
        <v>25.34</v>
      </c>
      <c r="M37" s="45">
        <v>0.80230000000000001</v>
      </c>
      <c r="N37" s="45">
        <v>4.9000000000000004</v>
      </c>
      <c r="O37" s="45"/>
      <c r="P37" s="45"/>
      <c r="Q37" s="45"/>
      <c r="R37" s="45"/>
      <c r="S37" s="45">
        <v>1.8</v>
      </c>
      <c r="T37" s="45">
        <v>10.6</v>
      </c>
      <c r="U37" s="45"/>
      <c r="V37" s="45"/>
      <c r="W37">
        <v>8.5</v>
      </c>
      <c r="X37">
        <v>0.5</v>
      </c>
      <c r="Y37">
        <v>0.97</v>
      </c>
      <c r="Z37">
        <v>60</v>
      </c>
    </row>
    <row r="38" spans="10:26" x14ac:dyDescent="0.25">
      <c r="J38" s="45">
        <v>4</v>
      </c>
      <c r="K38" s="45">
        <v>621.851</v>
      </c>
      <c r="L38" s="45">
        <v>25.29</v>
      </c>
      <c r="M38" s="45">
        <v>0.80230000000000001</v>
      </c>
      <c r="N38" s="45">
        <v>4.9000000000000004</v>
      </c>
      <c r="O38" s="45"/>
      <c r="P38" s="45"/>
      <c r="Q38" s="45"/>
      <c r="R38" s="45"/>
      <c r="S38" s="45">
        <v>1.7</v>
      </c>
      <c r="T38" s="45">
        <v>10.5</v>
      </c>
      <c r="U38" s="45"/>
      <c r="V38" s="45"/>
      <c r="W38">
        <v>8.5</v>
      </c>
      <c r="X38">
        <v>0.4</v>
      </c>
      <c r="Y38">
        <v>0.96599999999999997</v>
      </c>
      <c r="Z38">
        <v>60</v>
      </c>
    </row>
    <row r="39" spans="10:26" x14ac:dyDescent="0.25">
      <c r="J39" s="45">
        <v>5</v>
      </c>
      <c r="K39" s="45">
        <v>621.89499999999998</v>
      </c>
      <c r="L39" s="45">
        <v>25.24</v>
      </c>
      <c r="M39" s="45">
        <v>0.80230000000000001</v>
      </c>
      <c r="N39" s="45">
        <v>4.9000000000000004</v>
      </c>
      <c r="O39" s="45"/>
      <c r="P39" s="45"/>
      <c r="Q39" s="45"/>
      <c r="R39" s="45"/>
      <c r="S39" s="45">
        <v>1.7</v>
      </c>
      <c r="T39" s="45">
        <v>10.6</v>
      </c>
      <c r="U39" s="45"/>
      <c r="V39" s="45"/>
      <c r="W39">
        <v>8.4</v>
      </c>
      <c r="X39">
        <v>0.5</v>
      </c>
      <c r="Y39">
        <v>0.95799999999999996</v>
      </c>
      <c r="Z39">
        <v>60</v>
      </c>
    </row>
    <row r="40" spans="10:26" x14ac:dyDescent="0.25">
      <c r="J40" s="45">
        <v>6</v>
      </c>
      <c r="K40" s="45">
        <v>621.96799999999996</v>
      </c>
      <c r="L40" s="45">
        <v>25.28</v>
      </c>
      <c r="M40" s="45">
        <v>0.80230000000000001</v>
      </c>
      <c r="N40" s="45">
        <v>4.9000000000000004</v>
      </c>
      <c r="O40" s="45"/>
      <c r="P40" s="45"/>
      <c r="Q40" s="45"/>
      <c r="R40" s="45"/>
      <c r="S40" s="45">
        <v>1.8</v>
      </c>
      <c r="T40" s="45">
        <v>10.6</v>
      </c>
      <c r="U40" s="45"/>
      <c r="V40" s="45"/>
      <c r="W40">
        <v>8.5</v>
      </c>
      <c r="X40">
        <v>0.4</v>
      </c>
      <c r="Y40">
        <v>0.97299999999999998</v>
      </c>
      <c r="Z40">
        <v>60</v>
      </c>
    </row>
    <row r="41" spans="10:26" x14ac:dyDescent="0.25">
      <c r="J41" s="45">
        <v>7</v>
      </c>
      <c r="K41" s="45">
        <v>622.02800000000002</v>
      </c>
      <c r="L41" s="45">
        <v>25.68</v>
      </c>
      <c r="M41" s="45">
        <v>0.80230000000000001</v>
      </c>
      <c r="N41" s="45">
        <v>4.8899999999999997</v>
      </c>
      <c r="O41" s="45"/>
      <c r="P41" s="45"/>
      <c r="Q41" s="45"/>
      <c r="R41" s="45"/>
      <c r="S41" s="45">
        <v>1.7</v>
      </c>
      <c r="T41" s="45">
        <v>10.5</v>
      </c>
      <c r="U41" s="45"/>
      <c r="V41" s="45"/>
      <c r="W41">
        <v>8.5</v>
      </c>
      <c r="X41">
        <v>0.5</v>
      </c>
      <c r="Y41">
        <v>0.96899999999999997</v>
      </c>
      <c r="Z41">
        <v>60</v>
      </c>
    </row>
    <row r="42" spans="10:26" x14ac:dyDescent="0.25">
      <c r="J42" s="45">
        <v>8</v>
      </c>
      <c r="K42" s="45">
        <v>622.05499999999995</v>
      </c>
      <c r="L42" s="45">
        <v>26.47</v>
      </c>
      <c r="M42" s="45">
        <v>0.80230000000000001</v>
      </c>
      <c r="N42" s="45">
        <v>4.88</v>
      </c>
      <c r="O42" s="45"/>
      <c r="P42" s="45"/>
      <c r="Q42" s="45"/>
      <c r="R42" s="45"/>
      <c r="S42" s="45">
        <v>1.7</v>
      </c>
      <c r="T42" s="45">
        <v>10.5</v>
      </c>
      <c r="U42" s="45"/>
      <c r="V42" s="45"/>
      <c r="W42">
        <v>8.4</v>
      </c>
      <c r="X42">
        <v>0.4</v>
      </c>
      <c r="Y42">
        <v>0.95699999999999996</v>
      </c>
      <c r="Z42">
        <v>60</v>
      </c>
    </row>
    <row r="43" spans="10:26" x14ac:dyDescent="0.25">
      <c r="J43" s="45">
        <v>9</v>
      </c>
      <c r="K43" s="45">
        <v>622.01700000000005</v>
      </c>
      <c r="L43" s="45">
        <v>27.23</v>
      </c>
      <c r="M43" s="45">
        <v>0.80230000000000001</v>
      </c>
      <c r="N43" s="45">
        <v>4.87</v>
      </c>
      <c r="O43" s="45"/>
      <c r="P43" s="45"/>
      <c r="Q43" s="45"/>
      <c r="R43" s="45"/>
      <c r="S43" s="45">
        <v>1.8</v>
      </c>
      <c r="T43" s="45">
        <v>10.6</v>
      </c>
      <c r="U43" s="45"/>
      <c r="V43" s="45"/>
      <c r="W43">
        <v>8.5</v>
      </c>
      <c r="X43">
        <v>0.5</v>
      </c>
      <c r="Y43">
        <v>0.96399999999999997</v>
      </c>
      <c r="Z43">
        <v>60</v>
      </c>
    </row>
    <row r="44" spans="10:26" x14ac:dyDescent="0.25">
      <c r="J44" s="45">
        <v>10</v>
      </c>
      <c r="K44" s="45">
        <v>621.94000000000005</v>
      </c>
      <c r="L44" s="45">
        <v>27.97</v>
      </c>
      <c r="M44" s="45">
        <v>0.80230000000000001</v>
      </c>
      <c r="N44" s="45">
        <v>4.8499999999999996</v>
      </c>
      <c r="O44" s="45"/>
      <c r="P44" s="45"/>
      <c r="Q44" s="45"/>
      <c r="R44" s="45"/>
      <c r="S44" s="45">
        <v>1.7</v>
      </c>
      <c r="T44" s="45">
        <v>10.7</v>
      </c>
      <c r="U44" s="45"/>
      <c r="V44" s="45"/>
      <c r="W44">
        <v>8.6</v>
      </c>
      <c r="X44">
        <v>0.4</v>
      </c>
      <c r="Y44">
        <v>1.0089999999999999</v>
      </c>
      <c r="Z44">
        <v>60</v>
      </c>
    </row>
    <row r="45" spans="10:26" x14ac:dyDescent="0.25">
      <c r="J45" s="45">
        <v>11</v>
      </c>
      <c r="K45" s="45">
        <v>621.97799999999995</v>
      </c>
      <c r="L45" s="45">
        <v>29.95</v>
      </c>
      <c r="M45" s="45">
        <v>0.80230000000000001</v>
      </c>
      <c r="N45" s="45">
        <v>4.82</v>
      </c>
      <c r="O45" s="45"/>
      <c r="P45" s="45"/>
      <c r="Q45" s="45"/>
      <c r="R45" s="45"/>
      <c r="S45" s="45">
        <v>1.8</v>
      </c>
      <c r="T45" s="45">
        <v>10.8</v>
      </c>
      <c r="U45" s="45"/>
      <c r="V45" s="45"/>
      <c r="W45">
        <v>8.6999999999999993</v>
      </c>
      <c r="X45">
        <v>0.5</v>
      </c>
      <c r="Y45">
        <v>1.0209999999999999</v>
      </c>
      <c r="Z45">
        <v>60</v>
      </c>
    </row>
    <row r="46" spans="10:26" x14ac:dyDescent="0.25">
      <c r="J46" s="45">
        <v>12</v>
      </c>
      <c r="K46" s="45">
        <v>621.88300000000004</v>
      </c>
      <c r="L46" s="45">
        <v>32.840000000000003</v>
      </c>
      <c r="M46" s="45">
        <v>0.80230000000000001</v>
      </c>
      <c r="N46" s="45">
        <v>4.7699999999999996</v>
      </c>
      <c r="O46" s="45"/>
      <c r="P46" s="45"/>
      <c r="Q46" s="45"/>
      <c r="R46" s="45"/>
      <c r="S46" s="45">
        <v>1.8</v>
      </c>
      <c r="T46" s="45">
        <v>10.6</v>
      </c>
      <c r="U46" s="45"/>
      <c r="V46" s="45"/>
      <c r="W46">
        <v>8.4</v>
      </c>
      <c r="X46">
        <v>0.4</v>
      </c>
      <c r="Y46">
        <v>0.99299999999999999</v>
      </c>
      <c r="Z46">
        <v>60</v>
      </c>
    </row>
    <row r="47" spans="10:26" x14ac:dyDescent="0.25">
      <c r="J47" s="45">
        <v>13</v>
      </c>
      <c r="K47" s="45">
        <v>621.73800000000006</v>
      </c>
      <c r="L47" s="45">
        <v>33.79</v>
      </c>
      <c r="M47" s="45">
        <v>0.80230000000000001</v>
      </c>
      <c r="N47" s="45">
        <v>4.76</v>
      </c>
      <c r="O47" s="45"/>
      <c r="P47" s="45"/>
      <c r="Q47" s="45"/>
      <c r="R47" s="45"/>
      <c r="S47" s="45">
        <v>1.8</v>
      </c>
      <c r="T47" s="45">
        <v>10.6</v>
      </c>
      <c r="U47" s="45"/>
      <c r="V47" s="45"/>
      <c r="W47">
        <v>8.5</v>
      </c>
      <c r="X47">
        <v>0.4</v>
      </c>
      <c r="Y47">
        <v>0.998</v>
      </c>
      <c r="Z47">
        <v>60</v>
      </c>
    </row>
    <row r="48" spans="10:26" x14ac:dyDescent="0.25">
      <c r="J48" s="45">
        <v>14</v>
      </c>
      <c r="K48" s="45">
        <v>621.726</v>
      </c>
      <c r="L48" s="45">
        <v>34.950000000000003</v>
      </c>
      <c r="M48" s="45">
        <v>0.80230000000000001</v>
      </c>
      <c r="N48" s="45">
        <v>4.74</v>
      </c>
      <c r="O48" s="45"/>
      <c r="P48" s="45"/>
      <c r="Q48" s="45"/>
      <c r="R48" s="45"/>
      <c r="S48" s="45">
        <v>1.8</v>
      </c>
      <c r="T48" s="45">
        <v>10.6</v>
      </c>
      <c r="U48" s="45"/>
      <c r="V48" s="45"/>
      <c r="W48">
        <v>8.6</v>
      </c>
      <c r="X48">
        <v>0.5</v>
      </c>
      <c r="Y48">
        <v>1.0089999999999999</v>
      </c>
      <c r="Z48">
        <v>60</v>
      </c>
    </row>
    <row r="49" spans="10:26" x14ac:dyDescent="0.25">
      <c r="J49" s="45">
        <v>15</v>
      </c>
      <c r="K49" s="45">
        <v>621.66200000000003</v>
      </c>
      <c r="L49" s="45">
        <v>36.58</v>
      </c>
      <c r="M49" s="45">
        <v>0.80230000000000001</v>
      </c>
      <c r="N49" s="45">
        <v>4.71</v>
      </c>
      <c r="O49" s="45"/>
      <c r="P49" s="45"/>
      <c r="Q49" s="45"/>
      <c r="R49" s="45"/>
      <c r="S49" s="45">
        <v>1.8</v>
      </c>
      <c r="T49" s="45">
        <v>10.4</v>
      </c>
      <c r="U49" s="45"/>
      <c r="V49" s="45"/>
      <c r="W49">
        <v>8.4</v>
      </c>
      <c r="X49">
        <v>0.4</v>
      </c>
      <c r="Y49">
        <v>0.98499999999999999</v>
      </c>
      <c r="Z49">
        <v>60</v>
      </c>
    </row>
    <row r="50" spans="10:26" x14ac:dyDescent="0.25">
      <c r="J50" s="45">
        <v>16</v>
      </c>
      <c r="K50" s="45">
        <v>621.60299999999995</v>
      </c>
      <c r="L50" s="45">
        <v>37.32</v>
      </c>
      <c r="M50" s="45">
        <v>0.80230000000000001</v>
      </c>
      <c r="N50" s="45">
        <v>4.7</v>
      </c>
      <c r="O50" s="45"/>
      <c r="P50" s="45"/>
      <c r="Q50" s="45"/>
      <c r="R50" s="45"/>
      <c r="S50" s="45">
        <v>1.7</v>
      </c>
      <c r="T50" s="45">
        <v>10.3</v>
      </c>
      <c r="U50" s="45"/>
      <c r="V50" s="45"/>
      <c r="W50">
        <v>8.1</v>
      </c>
      <c r="X50">
        <v>0.5</v>
      </c>
      <c r="Y50">
        <v>0.93799999999999994</v>
      </c>
      <c r="Z50">
        <v>60</v>
      </c>
    </row>
    <row r="51" spans="10:26" x14ac:dyDescent="0.25">
      <c r="J51" s="45">
        <v>17</v>
      </c>
      <c r="K51" s="45">
        <v>621.49900000000002</v>
      </c>
      <c r="L51" s="45">
        <v>37.49</v>
      </c>
      <c r="M51" s="45">
        <v>0.80230000000000001</v>
      </c>
      <c r="N51" s="45">
        <v>4.6900000000000004</v>
      </c>
      <c r="O51" s="45"/>
      <c r="P51" s="45"/>
      <c r="Q51" s="45"/>
      <c r="R51" s="45"/>
      <c r="S51" s="45">
        <v>1.8</v>
      </c>
      <c r="T51" s="45">
        <v>10.199999999999999</v>
      </c>
      <c r="U51" s="45"/>
      <c r="V51" s="45"/>
      <c r="W51">
        <v>8.1999999999999993</v>
      </c>
      <c r="X51">
        <v>0.4</v>
      </c>
      <c r="Y51">
        <v>0.94199999999999995</v>
      </c>
      <c r="Z51">
        <v>60</v>
      </c>
    </row>
    <row r="52" spans="10:26" x14ac:dyDescent="0.25">
      <c r="J52" s="45">
        <v>18</v>
      </c>
      <c r="K52" s="45">
        <v>621.44200000000001</v>
      </c>
      <c r="L52" s="45">
        <v>36.979999999999997</v>
      </c>
      <c r="M52" s="45">
        <v>0.80230000000000001</v>
      </c>
      <c r="N52" s="45">
        <v>4.7</v>
      </c>
      <c r="O52" s="45"/>
      <c r="P52" s="45"/>
      <c r="Q52" s="45"/>
      <c r="R52" s="45"/>
      <c r="S52" s="45">
        <v>1.7</v>
      </c>
      <c r="T52" s="45">
        <v>10.199999999999999</v>
      </c>
      <c r="U52" s="45"/>
      <c r="V52" s="45"/>
      <c r="W52">
        <v>8.3000000000000007</v>
      </c>
      <c r="X52">
        <v>0.4</v>
      </c>
      <c r="Y52">
        <v>0.94799999999999995</v>
      </c>
      <c r="Z52">
        <v>60</v>
      </c>
    </row>
    <row r="53" spans="10:26" x14ac:dyDescent="0.25">
      <c r="J53" s="45">
        <v>19</v>
      </c>
      <c r="K53" s="45">
        <v>621.57100000000003</v>
      </c>
      <c r="L53" s="45">
        <v>34.369999999999997</v>
      </c>
      <c r="M53" s="45">
        <v>0.80230000000000001</v>
      </c>
      <c r="N53" s="45">
        <v>4.75</v>
      </c>
      <c r="O53" s="45"/>
      <c r="P53" s="45"/>
      <c r="Q53" s="45"/>
      <c r="R53" s="45"/>
      <c r="S53" s="45">
        <v>1.8</v>
      </c>
      <c r="T53" s="45">
        <v>10.5</v>
      </c>
      <c r="U53" s="45"/>
      <c r="V53" s="45"/>
      <c r="W53">
        <v>8.4</v>
      </c>
      <c r="X53">
        <v>0.5</v>
      </c>
      <c r="Y53">
        <v>0.97499999999999998</v>
      </c>
      <c r="Z53">
        <v>60</v>
      </c>
    </row>
    <row r="54" spans="10:26" x14ac:dyDescent="0.25">
      <c r="J54" s="45">
        <v>20</v>
      </c>
      <c r="K54" s="45">
        <v>621.62199999999996</v>
      </c>
      <c r="L54" s="45">
        <v>30.12</v>
      </c>
      <c r="M54" s="45">
        <v>0.80230000000000001</v>
      </c>
      <c r="N54" s="45">
        <v>4.82</v>
      </c>
      <c r="O54" s="45"/>
      <c r="P54" s="45"/>
      <c r="Q54" s="45"/>
      <c r="R54" s="45"/>
      <c r="S54" s="45">
        <v>1.8</v>
      </c>
      <c r="T54" s="45">
        <v>11</v>
      </c>
      <c r="U54" s="45"/>
      <c r="V54" s="45"/>
      <c r="W54">
        <v>8.8000000000000007</v>
      </c>
      <c r="X54">
        <v>0.4</v>
      </c>
      <c r="Y54">
        <v>1.0580000000000001</v>
      </c>
      <c r="Z54">
        <v>60</v>
      </c>
    </row>
    <row r="55" spans="10:26" x14ac:dyDescent="0.25">
      <c r="J55" s="45">
        <v>21</v>
      </c>
      <c r="K55" s="45">
        <v>621.72299999999996</v>
      </c>
      <c r="L55" s="45">
        <v>27.73</v>
      </c>
      <c r="M55" s="45">
        <v>0.80230000000000001</v>
      </c>
      <c r="N55" s="45">
        <v>4.8600000000000003</v>
      </c>
      <c r="O55" s="45"/>
      <c r="P55" s="45"/>
      <c r="Q55" s="45"/>
      <c r="R55" s="45"/>
      <c r="S55" s="45">
        <v>1.8</v>
      </c>
      <c r="T55" s="45">
        <v>10.7</v>
      </c>
      <c r="U55" s="45"/>
      <c r="V55" s="45"/>
      <c r="W55">
        <v>8.6</v>
      </c>
      <c r="X55">
        <v>0.5</v>
      </c>
      <c r="Y55">
        <v>1.016</v>
      </c>
      <c r="Z55">
        <v>60</v>
      </c>
    </row>
    <row r="56" spans="10:26" x14ac:dyDescent="0.25">
      <c r="J56" s="45">
        <v>22</v>
      </c>
      <c r="K56" s="45">
        <v>621.84199999999998</v>
      </c>
      <c r="L56" s="45">
        <v>26.57</v>
      </c>
      <c r="M56" s="45">
        <v>0.80230000000000001</v>
      </c>
      <c r="N56" s="45">
        <v>4.88</v>
      </c>
      <c r="O56" s="45"/>
      <c r="P56" s="45"/>
      <c r="Q56" s="45"/>
      <c r="R56" s="45"/>
      <c r="S56" s="45">
        <v>1.7</v>
      </c>
      <c r="T56" s="45">
        <v>10.6</v>
      </c>
      <c r="U56" s="45"/>
      <c r="V56" s="45"/>
      <c r="W56">
        <v>8.5</v>
      </c>
      <c r="X56">
        <v>0.4</v>
      </c>
      <c r="Y56">
        <v>0.97699999999999998</v>
      </c>
      <c r="Z56">
        <v>60</v>
      </c>
    </row>
    <row r="57" spans="10:26" x14ac:dyDescent="0.25">
      <c r="J57" s="45">
        <v>23</v>
      </c>
      <c r="K57" s="45">
        <v>621.87</v>
      </c>
      <c r="L57" s="45">
        <v>26.02</v>
      </c>
      <c r="M57" s="45">
        <v>0.80230000000000001</v>
      </c>
      <c r="N57" s="45">
        <v>4.8899999999999997</v>
      </c>
      <c r="O57" s="45"/>
      <c r="P57" s="45"/>
      <c r="Q57" s="45"/>
      <c r="R57" s="45"/>
      <c r="S57" s="45">
        <v>1.8</v>
      </c>
      <c r="T57" s="45">
        <v>10.7</v>
      </c>
      <c r="U57" s="45"/>
      <c r="V57" s="45"/>
      <c r="W57">
        <v>8.5</v>
      </c>
      <c r="X57">
        <v>0.5</v>
      </c>
      <c r="Y57">
        <v>0.97699999999999998</v>
      </c>
      <c r="Z57">
        <v>60</v>
      </c>
    </row>
    <row r="58" spans="10:26" x14ac:dyDescent="0.25">
      <c r="J58" s="45">
        <v>24</v>
      </c>
      <c r="K58" s="45">
        <v>621.82299999999998</v>
      </c>
      <c r="L58" s="45">
        <v>25.76</v>
      </c>
      <c r="M58" s="45">
        <v>0.80230000000000001</v>
      </c>
      <c r="N58" s="45">
        <v>4.8899999999999997</v>
      </c>
      <c r="O58" s="45"/>
      <c r="P58" s="45"/>
      <c r="Q58" s="45"/>
      <c r="R58" s="45"/>
      <c r="S58" s="45">
        <v>1.7</v>
      </c>
      <c r="T58" s="45">
        <v>10.6</v>
      </c>
      <c r="U58" s="45"/>
      <c r="V58" s="45"/>
      <c r="W58">
        <v>8.6</v>
      </c>
      <c r="X58">
        <v>0.4</v>
      </c>
      <c r="Y58">
        <v>0.97799999999999998</v>
      </c>
      <c r="Z58">
        <v>60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2:M53"/>
  <sheetViews>
    <sheetView topLeftCell="A32" zoomScaleNormal="100" workbookViewId="0">
      <selection activeCell="F22" sqref="F22"/>
    </sheetView>
  </sheetViews>
  <sheetFormatPr defaultColWidth="8.7109375" defaultRowHeight="15" x14ac:dyDescent="0.25"/>
  <cols>
    <col min="1" max="1" width="25" customWidth="1"/>
    <col min="2" max="2" width="55" customWidth="1"/>
    <col min="3" max="3" width="12" customWidth="1"/>
    <col min="4" max="4" width="22.7109375" bestFit="1" customWidth="1"/>
    <col min="5" max="5" width="19.5703125" bestFit="1" customWidth="1"/>
    <col min="6" max="6" width="22.28515625" bestFit="1" customWidth="1"/>
    <col min="7" max="7" width="22.28515625" customWidth="1"/>
    <col min="8" max="8" width="25.42578125" customWidth="1"/>
    <col min="9" max="9" width="22.85546875" customWidth="1"/>
    <col min="10" max="10" width="10.7109375" bestFit="1" customWidth="1"/>
    <col min="11" max="11" width="10.42578125" bestFit="1" customWidth="1"/>
    <col min="12" max="12" width="14.85546875" customWidth="1"/>
    <col min="13" max="13" width="20.140625" bestFit="1" customWidth="1"/>
  </cols>
  <sheetData>
    <row r="2" spans="1:13" ht="15.6" customHeight="1" x14ac:dyDescent="0.3">
      <c r="A2" s="201" t="s">
        <v>126</v>
      </c>
      <c r="B2" s="201"/>
      <c r="C2" s="201"/>
      <c r="D2" s="204" t="s">
        <v>260</v>
      </c>
      <c r="E2" s="205"/>
      <c r="F2" s="205"/>
      <c r="G2" s="205"/>
      <c r="H2" s="205"/>
      <c r="I2" s="205"/>
      <c r="J2" s="205"/>
      <c r="K2" s="205"/>
      <c r="L2" s="205"/>
      <c r="M2" s="206"/>
    </row>
    <row r="3" spans="1:13" x14ac:dyDescent="0.25">
      <c r="C3" s="133" t="s">
        <v>371</v>
      </c>
      <c r="D3" s="133" t="s">
        <v>155</v>
      </c>
      <c r="E3" s="133" t="s">
        <v>261</v>
      </c>
      <c r="F3" s="133" t="s">
        <v>262</v>
      </c>
      <c r="G3" s="133" t="s">
        <v>242</v>
      </c>
      <c r="H3" s="133" t="s">
        <v>263</v>
      </c>
      <c r="I3" s="133" t="s">
        <v>264</v>
      </c>
      <c r="J3" s="133" t="s">
        <v>265</v>
      </c>
      <c r="K3" s="133" t="s">
        <v>266</v>
      </c>
      <c r="L3" s="133" t="s">
        <v>349</v>
      </c>
      <c r="M3" s="133" t="s">
        <v>243</v>
      </c>
    </row>
    <row r="4" spans="1:13" x14ac:dyDescent="0.25">
      <c r="A4" t="s">
        <v>127</v>
      </c>
      <c r="C4" t="s">
        <v>368</v>
      </c>
      <c r="D4" s="134" t="s">
        <v>246</v>
      </c>
      <c r="E4" s="134" t="s">
        <v>267</v>
      </c>
      <c r="F4" s="134" t="s">
        <v>268</v>
      </c>
      <c r="G4" t="s">
        <v>245</v>
      </c>
      <c r="H4" s="134" t="s">
        <v>269</v>
      </c>
      <c r="I4" s="134" t="s">
        <v>270</v>
      </c>
      <c r="J4" s="134" t="s">
        <v>271</v>
      </c>
      <c r="K4" s="134" t="s">
        <v>272</v>
      </c>
      <c r="L4" s="134" t="s">
        <v>350</v>
      </c>
      <c r="M4" t="s">
        <v>247</v>
      </c>
    </row>
    <row r="5" spans="1:13" x14ac:dyDescent="0.25">
      <c r="A5" t="s">
        <v>128</v>
      </c>
      <c r="C5" t="s">
        <v>369</v>
      </c>
      <c r="D5" s="134" t="s">
        <v>273</v>
      </c>
      <c r="E5" s="134" t="s">
        <v>274</v>
      </c>
      <c r="F5" s="134" t="s">
        <v>275</v>
      </c>
      <c r="G5" t="s">
        <v>248</v>
      </c>
      <c r="H5" s="134" t="s">
        <v>276</v>
      </c>
      <c r="I5" s="134" t="s">
        <v>277</v>
      </c>
      <c r="J5" s="134" t="s">
        <v>278</v>
      </c>
      <c r="K5" s="134" t="s">
        <v>279</v>
      </c>
      <c r="L5" s="134" t="s">
        <v>351</v>
      </c>
      <c r="M5" t="s">
        <v>249</v>
      </c>
    </row>
    <row r="6" spans="1:13" ht="30" x14ac:dyDescent="0.25">
      <c r="A6" t="s">
        <v>129</v>
      </c>
      <c r="C6" t="s">
        <v>370</v>
      </c>
      <c r="D6" s="134" t="s">
        <v>280</v>
      </c>
      <c r="E6" t="s">
        <v>339</v>
      </c>
      <c r="F6" t="s">
        <v>250</v>
      </c>
      <c r="G6" t="s">
        <v>251</v>
      </c>
      <c r="H6" s="134" t="s">
        <v>281</v>
      </c>
      <c r="I6" s="134" t="s">
        <v>282</v>
      </c>
      <c r="J6" s="134" t="s">
        <v>283</v>
      </c>
      <c r="K6" s="134" t="s">
        <v>284</v>
      </c>
      <c r="L6" s="134" t="s">
        <v>352</v>
      </c>
      <c r="M6" t="s">
        <v>253</v>
      </c>
    </row>
    <row r="7" spans="1:13" x14ac:dyDescent="0.25">
      <c r="A7" t="s">
        <v>130</v>
      </c>
      <c r="C7" t="s">
        <v>256</v>
      </c>
      <c r="D7" s="134" t="s">
        <v>285</v>
      </c>
      <c r="F7" s="134" t="s">
        <v>244</v>
      </c>
      <c r="G7" t="s">
        <v>255</v>
      </c>
      <c r="H7" s="134" t="s">
        <v>286</v>
      </c>
      <c r="I7" s="134" t="s">
        <v>287</v>
      </c>
      <c r="J7" s="134" t="s">
        <v>288</v>
      </c>
      <c r="L7" s="134" t="s">
        <v>353</v>
      </c>
      <c r="M7" t="s">
        <v>256</v>
      </c>
    </row>
    <row r="8" spans="1:13" ht="30" x14ac:dyDescent="0.25">
      <c r="A8" t="s">
        <v>131</v>
      </c>
      <c r="D8" s="134" t="s">
        <v>289</v>
      </c>
      <c r="F8" s="134" t="s">
        <v>290</v>
      </c>
      <c r="G8" t="s">
        <v>258</v>
      </c>
      <c r="H8" s="134" t="s">
        <v>340</v>
      </c>
      <c r="I8" s="134" t="s">
        <v>291</v>
      </c>
    </row>
    <row r="9" spans="1:13" ht="30" x14ac:dyDescent="0.25">
      <c r="A9" t="s">
        <v>132</v>
      </c>
      <c r="D9" s="134" t="s">
        <v>292</v>
      </c>
      <c r="F9" s="134" t="s">
        <v>257</v>
      </c>
      <c r="G9" s="134"/>
      <c r="H9" s="134" t="s">
        <v>341</v>
      </c>
    </row>
    <row r="10" spans="1:13" x14ac:dyDescent="0.25">
      <c r="D10" s="134" t="s">
        <v>252</v>
      </c>
      <c r="F10" s="134" t="s">
        <v>293</v>
      </c>
      <c r="G10" s="134"/>
      <c r="H10" s="134" t="s">
        <v>256</v>
      </c>
    </row>
    <row r="11" spans="1:13" x14ac:dyDescent="0.25">
      <c r="A11" t="s">
        <v>133</v>
      </c>
      <c r="D11" s="137" t="s">
        <v>334</v>
      </c>
      <c r="F11" s="137" t="s">
        <v>333</v>
      </c>
      <c r="G11" s="140"/>
      <c r="H11" s="137" t="s">
        <v>357</v>
      </c>
    </row>
    <row r="12" spans="1:13" ht="14.45" customHeight="1" x14ac:dyDescent="0.25">
      <c r="A12" t="s">
        <v>134</v>
      </c>
      <c r="D12" s="137" t="s">
        <v>284</v>
      </c>
      <c r="F12" s="134" t="s">
        <v>294</v>
      </c>
      <c r="G12" s="140"/>
    </row>
    <row r="13" spans="1:13" x14ac:dyDescent="0.25">
      <c r="D13" s="137" t="s">
        <v>338</v>
      </c>
      <c r="F13" s="134" t="s">
        <v>295</v>
      </c>
      <c r="G13" s="140"/>
    </row>
    <row r="14" spans="1:13" x14ac:dyDescent="0.25">
      <c r="A14" t="s">
        <v>135</v>
      </c>
      <c r="D14" s="137" t="s">
        <v>259</v>
      </c>
      <c r="F14" s="134" t="s">
        <v>296</v>
      </c>
      <c r="G14" s="140"/>
    </row>
    <row r="15" spans="1:13" x14ac:dyDescent="0.25">
      <c r="A15" t="s">
        <v>136</v>
      </c>
      <c r="F15" s="134" t="s">
        <v>297</v>
      </c>
      <c r="G15" s="140"/>
    </row>
    <row r="16" spans="1:13" x14ac:dyDescent="0.25">
      <c r="A16" t="s">
        <v>137</v>
      </c>
      <c r="F16" s="134" t="s">
        <v>256</v>
      </c>
      <c r="G16" s="140"/>
    </row>
    <row r="17" spans="1:6" ht="57.6" customHeight="1" x14ac:dyDescent="0.25">
      <c r="A17" t="s">
        <v>138</v>
      </c>
      <c r="F17" t="s">
        <v>254</v>
      </c>
    </row>
    <row r="18" spans="1:6" x14ac:dyDescent="0.25">
      <c r="A18" t="s">
        <v>131</v>
      </c>
    </row>
    <row r="19" spans="1:6" x14ac:dyDescent="0.25">
      <c r="A19" t="s">
        <v>139</v>
      </c>
    </row>
    <row r="21" spans="1:6" x14ac:dyDescent="0.25">
      <c r="A21" t="s">
        <v>140</v>
      </c>
    </row>
    <row r="22" spans="1:6" x14ac:dyDescent="0.25">
      <c r="A22" t="s">
        <v>141</v>
      </c>
    </row>
    <row r="25" spans="1:6" ht="15.75" x14ac:dyDescent="0.25">
      <c r="A25" s="1" t="s">
        <v>142</v>
      </c>
    </row>
    <row r="27" spans="1:6" x14ac:dyDescent="0.25">
      <c r="A27" s="4" t="s">
        <v>24</v>
      </c>
      <c r="B27" t="s">
        <v>143</v>
      </c>
    </row>
    <row r="28" spans="1:6" x14ac:dyDescent="0.25">
      <c r="A28" s="4" t="s">
        <v>25</v>
      </c>
      <c r="B28" t="s">
        <v>144</v>
      </c>
    </row>
    <row r="29" spans="1:6" x14ac:dyDescent="0.25">
      <c r="A29" s="4" t="s">
        <v>26</v>
      </c>
      <c r="B29" t="s">
        <v>145</v>
      </c>
    </row>
    <row r="30" spans="1:6" x14ac:dyDescent="0.25">
      <c r="A30" s="4" t="s">
        <v>27</v>
      </c>
      <c r="B30" t="s">
        <v>146</v>
      </c>
    </row>
    <row r="31" spans="1:6" x14ac:dyDescent="0.25">
      <c r="A31" s="4" t="s">
        <v>28</v>
      </c>
      <c r="B31" t="s">
        <v>147</v>
      </c>
    </row>
    <row r="32" spans="1:6" x14ac:dyDescent="0.25">
      <c r="A32" s="4" t="s">
        <v>29</v>
      </c>
      <c r="B32" t="s">
        <v>148</v>
      </c>
    </row>
    <row r="33" spans="1:5" x14ac:dyDescent="0.25">
      <c r="A33" s="4" t="s">
        <v>30</v>
      </c>
      <c r="B33" t="s">
        <v>149</v>
      </c>
    </row>
    <row r="34" spans="1:5" x14ac:dyDescent="0.25">
      <c r="A34" s="4" t="s">
        <v>31</v>
      </c>
      <c r="B34" t="s">
        <v>150</v>
      </c>
    </row>
    <row r="35" spans="1:5" x14ac:dyDescent="0.25">
      <c r="A35" s="4" t="s">
        <v>32</v>
      </c>
      <c r="B35" t="s">
        <v>151</v>
      </c>
    </row>
    <row r="36" spans="1:5" x14ac:dyDescent="0.25">
      <c r="A36" s="4" t="s">
        <v>33</v>
      </c>
      <c r="B36" t="s">
        <v>152</v>
      </c>
    </row>
    <row r="40" spans="1:5" ht="16.149999999999999" customHeight="1" x14ac:dyDescent="0.25"/>
    <row r="42" spans="1:5" x14ac:dyDescent="0.25">
      <c r="A42" s="202" t="s">
        <v>298</v>
      </c>
      <c r="B42" s="203"/>
      <c r="C42" s="203"/>
      <c r="D42" s="203"/>
      <c r="E42" s="203"/>
    </row>
    <row r="43" spans="1:5" x14ac:dyDescent="0.25">
      <c r="A43" s="122" t="s">
        <v>68</v>
      </c>
      <c r="B43" s="122" t="s">
        <v>299</v>
      </c>
      <c r="C43" s="122" t="s">
        <v>300</v>
      </c>
      <c r="D43" s="122" t="s">
        <v>301</v>
      </c>
      <c r="E43" s="122" t="s">
        <v>302</v>
      </c>
    </row>
    <row r="44" spans="1:5" ht="45" x14ac:dyDescent="0.25">
      <c r="A44" s="134" t="s">
        <v>303</v>
      </c>
      <c r="B44" s="134" t="s">
        <v>304</v>
      </c>
      <c r="C44" s="135">
        <v>30</v>
      </c>
      <c r="D44" s="134" t="s">
        <v>305</v>
      </c>
      <c r="E44" s="136" t="s">
        <v>306</v>
      </c>
    </row>
    <row r="45" spans="1:5" ht="30" x14ac:dyDescent="0.25">
      <c r="A45" s="134" t="s">
        <v>307</v>
      </c>
      <c r="B45" s="134" t="s">
        <v>308</v>
      </c>
      <c r="C45" s="135">
        <v>30</v>
      </c>
      <c r="D45" s="134" t="s">
        <v>305</v>
      </c>
      <c r="E45" s="136" t="s">
        <v>309</v>
      </c>
    </row>
    <row r="46" spans="1:5" ht="45" x14ac:dyDescent="0.25">
      <c r="A46" s="134" t="s">
        <v>310</v>
      </c>
      <c r="B46" s="134" t="s">
        <v>311</v>
      </c>
      <c r="C46" s="135">
        <v>30</v>
      </c>
      <c r="D46" s="134" t="s">
        <v>305</v>
      </c>
      <c r="E46" s="136" t="s">
        <v>312</v>
      </c>
    </row>
    <row r="47" spans="1:5" ht="30" x14ac:dyDescent="0.25">
      <c r="A47" s="134" t="s">
        <v>313</v>
      </c>
      <c r="B47" s="134" t="s">
        <v>314</v>
      </c>
      <c r="C47" s="135">
        <v>10</v>
      </c>
      <c r="D47" s="134" t="s">
        <v>305</v>
      </c>
      <c r="E47" s="136" t="s">
        <v>315</v>
      </c>
    </row>
    <row r="48" spans="1:5" ht="45" x14ac:dyDescent="0.25">
      <c r="A48" s="134" t="s">
        <v>316</v>
      </c>
      <c r="B48" s="134" t="s">
        <v>317</v>
      </c>
      <c r="C48" s="135">
        <v>60</v>
      </c>
      <c r="D48" s="134" t="s">
        <v>305</v>
      </c>
      <c r="E48" s="136" t="s">
        <v>318</v>
      </c>
    </row>
    <row r="49" spans="1:5" ht="45" x14ac:dyDescent="0.25">
      <c r="A49" s="134" t="s">
        <v>319</v>
      </c>
      <c r="B49" s="134" t="s">
        <v>320</v>
      </c>
      <c r="C49" s="135">
        <v>120</v>
      </c>
      <c r="D49" s="134" t="s">
        <v>305</v>
      </c>
      <c r="E49" s="136" t="s">
        <v>318</v>
      </c>
    </row>
    <row r="50" spans="1:5" ht="45" x14ac:dyDescent="0.25">
      <c r="A50" s="134" t="s">
        <v>321</v>
      </c>
      <c r="B50" s="134" t="s">
        <v>322</v>
      </c>
      <c r="C50" s="135">
        <v>60</v>
      </c>
      <c r="D50" s="134" t="s">
        <v>305</v>
      </c>
      <c r="E50" s="136" t="s">
        <v>323</v>
      </c>
    </row>
    <row r="51" spans="1:5" ht="45" x14ac:dyDescent="0.25">
      <c r="A51" s="134" t="s">
        <v>324</v>
      </c>
      <c r="B51" s="134" t="s">
        <v>325</v>
      </c>
      <c r="C51" s="135">
        <v>30</v>
      </c>
      <c r="D51" s="134" t="s">
        <v>305</v>
      </c>
      <c r="E51" s="136" t="s">
        <v>326</v>
      </c>
    </row>
    <row r="52" spans="1:5" ht="30" x14ac:dyDescent="0.25">
      <c r="A52" s="134" t="s">
        <v>327</v>
      </c>
      <c r="B52" s="134" t="s">
        <v>328</v>
      </c>
      <c r="C52" s="135">
        <v>10</v>
      </c>
      <c r="D52" s="134" t="s">
        <v>329</v>
      </c>
      <c r="E52" s="136" t="s">
        <v>330</v>
      </c>
    </row>
    <row r="53" spans="1:5" ht="30" x14ac:dyDescent="0.25">
      <c r="A53" s="134" t="s">
        <v>331</v>
      </c>
      <c r="B53" s="134" t="s">
        <v>332</v>
      </c>
      <c r="C53" s="135">
        <v>7</v>
      </c>
      <c r="D53" s="134" t="s">
        <v>329</v>
      </c>
      <c r="E53" s="136" t="s">
        <v>330</v>
      </c>
    </row>
  </sheetData>
  <mergeCells count="3">
    <mergeCell ref="A2:C2"/>
    <mergeCell ref="A42:E42"/>
    <mergeCell ref="D2:M2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D6"/>
  <sheetViews>
    <sheetView zoomScaleNormal="100" workbookViewId="0">
      <selection activeCell="D28" sqref="D28"/>
    </sheetView>
  </sheetViews>
  <sheetFormatPr defaultColWidth="8.7109375" defaultRowHeight="15" x14ac:dyDescent="0.25"/>
  <cols>
    <col min="1" max="1" width="20" customWidth="1"/>
    <col min="2" max="2" width="22" customWidth="1"/>
    <col min="3" max="3" width="12" customWidth="1"/>
    <col min="4" max="4" width="30" customWidth="1"/>
  </cols>
  <sheetData>
    <row r="1" spans="1:4" ht="18" x14ac:dyDescent="0.25">
      <c r="A1" s="207" t="s">
        <v>153</v>
      </c>
      <c r="B1" s="207"/>
      <c r="C1" s="207"/>
      <c r="D1" s="207"/>
    </row>
    <row r="3" spans="1:4" x14ac:dyDescent="0.25">
      <c r="A3" s="2" t="s">
        <v>122</v>
      </c>
      <c r="B3" s="2" t="s">
        <v>154</v>
      </c>
      <c r="C3" s="2" t="s">
        <v>155</v>
      </c>
      <c r="D3" s="2" t="s">
        <v>156</v>
      </c>
    </row>
    <row r="4" spans="1:4" x14ac:dyDescent="0.25">
      <c r="A4" s="3" t="s">
        <v>123</v>
      </c>
      <c r="B4" s="3" t="e">
        <f>Monitoramento_Diario_Massa!#REF!</f>
        <v>#REF!</v>
      </c>
      <c r="C4" s="3" t="e">
        <f>IF(B4&gt;=10,"CALIBRAR",IF(B4&gt;=7,"ATENÇÃO","OK"))</f>
        <v>#REF!</v>
      </c>
      <c r="D4" s="3" t="e">
        <f>IF(B4&gt;=10,"Executar Etapa 1 ou 2",IF(B4&gt;=7,"Monitorar de perto","Continuar monitoramento"))</f>
        <v>#REF!</v>
      </c>
    </row>
    <row r="5" spans="1:4" x14ac:dyDescent="0.25">
      <c r="A5" s="3" t="s">
        <v>124</v>
      </c>
      <c r="B5" s="3" t="e">
        <f>Monitoramento_Diario_Massa!#REF!</f>
        <v>#REF!</v>
      </c>
      <c r="C5" s="3" t="e">
        <f>IF(B5&gt;=10,"CALIBRAR",IF(B5&gt;=7,"ATENÇÃO","OK"))</f>
        <v>#REF!</v>
      </c>
      <c r="D5" s="3" t="e">
        <f>IF(B5&gt;=10,"Executar Etapa 1 ou 2",IF(B5&gt;=7,"Monitorar de perto","Continuar monitoramento"))</f>
        <v>#REF!</v>
      </c>
    </row>
    <row r="6" spans="1:4" x14ac:dyDescent="0.25">
      <c r="A6" s="3" t="s">
        <v>125</v>
      </c>
      <c r="B6" s="3" t="e">
        <f>Monitoramento_Diario_Massa!#REF!</f>
        <v>#REF!</v>
      </c>
      <c r="C6" s="3" t="e">
        <f>IF(B6&gt;=10,"CALIBRAR",IF(B6&gt;=7,"ATENÇÃO","OK"))</f>
        <v>#REF!</v>
      </c>
      <c r="D6" s="3" t="e">
        <f>IF(B6&gt;=10,"Executar Etapa 1: Topside",IF(B6&gt;=7,"Monitorar de perto","Continuar monitoramento"))</f>
        <v>#REF!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8E4F-AF5E-48B5-BD4F-D8E058A6A418}">
  <dimension ref="A1:L5"/>
  <sheetViews>
    <sheetView workbookViewId="0">
      <selection activeCell="A8" sqref="A8:XFD13"/>
    </sheetView>
  </sheetViews>
  <sheetFormatPr defaultRowHeight="15" x14ac:dyDescent="0.25"/>
  <sheetData>
    <row r="1" spans="1:12" x14ac:dyDescent="0.25">
      <c r="A1" s="202" t="s">
        <v>203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</row>
    <row r="2" spans="1:12" ht="45" x14ac:dyDescent="0.25">
      <c r="A2" s="122" t="s">
        <v>204</v>
      </c>
      <c r="B2" s="122" t="s">
        <v>205</v>
      </c>
      <c r="C2" s="122" t="s">
        <v>193</v>
      </c>
      <c r="D2" s="122" t="s">
        <v>194</v>
      </c>
      <c r="E2" s="122" t="s">
        <v>195</v>
      </c>
      <c r="F2" s="122" t="s">
        <v>196</v>
      </c>
      <c r="G2" s="122" t="s">
        <v>197</v>
      </c>
      <c r="H2" s="122" t="s">
        <v>198</v>
      </c>
      <c r="I2" s="122" t="s">
        <v>199</v>
      </c>
      <c r="J2" s="122" t="s">
        <v>200</v>
      </c>
      <c r="K2" s="122" t="s">
        <v>201</v>
      </c>
      <c r="L2" s="122" t="s">
        <v>202</v>
      </c>
    </row>
    <row r="3" spans="1:12" x14ac:dyDescent="0.25">
      <c r="A3" s="123"/>
      <c r="B3" s="124" t="str">
        <f t="shared" ref="B3:B5" si="0">IF($A3="","",$A3+7)</f>
        <v/>
      </c>
      <c r="C3" s="125" t="s">
        <v>373</v>
      </c>
      <c r="D3" s="126" t="s">
        <v>373</v>
      </c>
      <c r="E3" s="126" t="s">
        <v>373</v>
      </c>
      <c r="F3" s="124" t="s">
        <v>373</v>
      </c>
      <c r="G3" s="126" t="s">
        <v>373</v>
      </c>
      <c r="H3" s="126" t="s">
        <v>373</v>
      </c>
      <c r="I3" s="124" t="s">
        <v>373</v>
      </c>
      <c r="J3" s="128" t="s">
        <v>373</v>
      </c>
      <c r="K3" s="128" t="s">
        <v>373</v>
      </c>
      <c r="L3" s="128" t="s">
        <v>373</v>
      </c>
    </row>
    <row r="4" spans="1:12" x14ac:dyDescent="0.25">
      <c r="A4" s="123" t="str">
        <f t="shared" ref="A4:A5" si="1">IF($A3="","",$A3+7)</f>
        <v/>
      </c>
      <c r="B4" s="129" t="str">
        <f t="shared" si="0"/>
        <v/>
      </c>
      <c r="C4" s="125" t="s">
        <v>373</v>
      </c>
      <c r="D4" s="126" t="s">
        <v>373</v>
      </c>
      <c r="E4" s="126" t="s">
        <v>373</v>
      </c>
      <c r="F4" s="124" t="s">
        <v>373</v>
      </c>
      <c r="G4" s="126" t="s">
        <v>373</v>
      </c>
      <c r="H4" s="126" t="s">
        <v>373</v>
      </c>
      <c r="I4" s="124" t="s">
        <v>373</v>
      </c>
      <c r="J4" s="128" t="s">
        <v>373</v>
      </c>
      <c r="K4" s="128" t="s">
        <v>373</v>
      </c>
      <c r="L4" s="128" t="s">
        <v>373</v>
      </c>
    </row>
    <row r="5" spans="1:12" x14ac:dyDescent="0.25">
      <c r="A5" s="123" t="str">
        <f t="shared" si="1"/>
        <v/>
      </c>
      <c r="B5" s="129" t="str">
        <f t="shared" si="0"/>
        <v/>
      </c>
      <c r="C5" s="125" t="s">
        <v>373</v>
      </c>
      <c r="D5" s="126" t="s">
        <v>373</v>
      </c>
      <c r="E5" s="126" t="s">
        <v>373</v>
      </c>
      <c r="F5" s="124" t="s">
        <v>373</v>
      </c>
      <c r="G5" s="126" t="s">
        <v>373</v>
      </c>
      <c r="H5" s="126" t="s">
        <v>373</v>
      </c>
      <c r="I5" s="124" t="s">
        <v>373</v>
      </c>
      <c r="J5" s="128" t="s">
        <v>373</v>
      </c>
      <c r="K5" s="128" t="s">
        <v>373</v>
      </c>
      <c r="L5" s="128" t="s">
        <v>373</v>
      </c>
    </row>
  </sheetData>
  <mergeCells count="1">
    <mergeCell ref="A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6EEB-8010-4FE7-8180-5767930B392D}">
  <dimension ref="A1:L7"/>
  <sheetViews>
    <sheetView workbookViewId="0">
      <selection activeCell="A17" sqref="A12:XFD17"/>
    </sheetView>
  </sheetViews>
  <sheetFormatPr defaultRowHeight="15" x14ac:dyDescent="0.25"/>
  <sheetData>
    <row r="1" spans="1:12" x14ac:dyDescent="0.25">
      <c r="A1" s="202" t="s">
        <v>190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</row>
    <row r="2" spans="1:12" ht="45" x14ac:dyDescent="0.25">
      <c r="A2" s="122" t="s">
        <v>191</v>
      </c>
      <c r="B2" s="122" t="s">
        <v>192</v>
      </c>
      <c r="C2" s="122" t="s">
        <v>193</v>
      </c>
      <c r="D2" s="122" t="s">
        <v>194</v>
      </c>
      <c r="E2" s="122" t="s">
        <v>195</v>
      </c>
      <c r="F2" s="122" t="s">
        <v>196</v>
      </c>
      <c r="G2" s="122" t="s">
        <v>197</v>
      </c>
      <c r="H2" s="122" t="s">
        <v>198</v>
      </c>
      <c r="I2" s="122" t="s">
        <v>199</v>
      </c>
      <c r="J2" s="122" t="s">
        <v>200</v>
      </c>
      <c r="K2" s="122" t="s">
        <v>201</v>
      </c>
      <c r="L2" s="122" t="s">
        <v>202</v>
      </c>
    </row>
    <row r="3" spans="1:12" x14ac:dyDescent="0.25">
      <c r="A3" s="123"/>
      <c r="B3" s="124" t="str">
        <f t="shared" ref="B3:B7" si="0">IF($A3="","",EDATE($A3,1))</f>
        <v/>
      </c>
      <c r="C3" s="125" t="s">
        <v>373</v>
      </c>
      <c r="D3" s="126" t="s">
        <v>373</v>
      </c>
      <c r="E3" s="126" t="s">
        <v>373</v>
      </c>
      <c r="F3" s="127" t="s">
        <v>373</v>
      </c>
      <c r="G3" s="126" t="s">
        <v>373</v>
      </c>
      <c r="H3" s="126" t="s">
        <v>373</v>
      </c>
      <c r="I3" s="127" t="s">
        <v>373</v>
      </c>
      <c r="J3" s="128" t="s">
        <v>373</v>
      </c>
      <c r="K3" s="128" t="s">
        <v>373</v>
      </c>
      <c r="L3" s="128" t="s">
        <v>373</v>
      </c>
    </row>
    <row r="4" spans="1:12" x14ac:dyDescent="0.25">
      <c r="A4" s="123" t="str">
        <f t="shared" ref="A4:A7" si="1">IF($A3="","",EDATE($A3,1))</f>
        <v/>
      </c>
      <c r="B4" s="129" t="str">
        <f t="shared" si="0"/>
        <v/>
      </c>
      <c r="C4" s="125" t="s">
        <v>373</v>
      </c>
      <c r="D4" s="126" t="s">
        <v>373</v>
      </c>
      <c r="E4" s="126" t="s">
        <v>373</v>
      </c>
      <c r="F4" s="127" t="s">
        <v>373</v>
      </c>
      <c r="G4" s="126" t="s">
        <v>373</v>
      </c>
      <c r="H4" s="126" t="s">
        <v>373</v>
      </c>
      <c r="I4" s="127" t="s">
        <v>373</v>
      </c>
      <c r="J4" s="128" t="s">
        <v>373</v>
      </c>
      <c r="K4" s="128" t="s">
        <v>373</v>
      </c>
      <c r="L4" s="128" t="s">
        <v>373</v>
      </c>
    </row>
    <row r="5" spans="1:12" x14ac:dyDescent="0.25">
      <c r="A5" s="123" t="str">
        <f t="shared" si="1"/>
        <v/>
      </c>
      <c r="B5" s="129" t="str">
        <f t="shared" si="0"/>
        <v/>
      </c>
      <c r="C5" s="125" t="s">
        <v>373</v>
      </c>
      <c r="D5" s="126" t="s">
        <v>373</v>
      </c>
      <c r="E5" s="126" t="s">
        <v>373</v>
      </c>
      <c r="F5" s="127" t="s">
        <v>373</v>
      </c>
      <c r="G5" s="126" t="s">
        <v>373</v>
      </c>
      <c r="H5" s="126" t="s">
        <v>373</v>
      </c>
      <c r="I5" s="127" t="s">
        <v>373</v>
      </c>
      <c r="J5" s="128" t="s">
        <v>373</v>
      </c>
      <c r="K5" s="128" t="s">
        <v>373</v>
      </c>
      <c r="L5" s="128" t="s">
        <v>373</v>
      </c>
    </row>
    <row r="6" spans="1:12" x14ac:dyDescent="0.25">
      <c r="A6" s="123" t="str">
        <f t="shared" si="1"/>
        <v/>
      </c>
      <c r="B6" s="129" t="str">
        <f t="shared" si="0"/>
        <v/>
      </c>
      <c r="C6" s="125" t="s">
        <v>373</v>
      </c>
      <c r="D6" s="126" t="s">
        <v>373</v>
      </c>
      <c r="E6" s="126" t="s">
        <v>373</v>
      </c>
      <c r="F6" s="127" t="s">
        <v>373</v>
      </c>
      <c r="G6" s="126" t="s">
        <v>373</v>
      </c>
      <c r="H6" s="126" t="s">
        <v>373</v>
      </c>
      <c r="I6" s="127" t="s">
        <v>373</v>
      </c>
      <c r="J6" s="128" t="s">
        <v>373</v>
      </c>
      <c r="K6" s="128" t="s">
        <v>373</v>
      </c>
      <c r="L6" s="128" t="s">
        <v>373</v>
      </c>
    </row>
    <row r="7" spans="1:12" x14ac:dyDescent="0.25">
      <c r="A7" s="123" t="str">
        <f t="shared" si="1"/>
        <v/>
      </c>
      <c r="B7" s="129" t="str">
        <f t="shared" si="0"/>
        <v/>
      </c>
      <c r="C7" s="125" t="s">
        <v>373</v>
      </c>
      <c r="D7" s="126" t="s">
        <v>373</v>
      </c>
      <c r="E7" s="126" t="s">
        <v>373</v>
      </c>
      <c r="F7" s="127" t="s">
        <v>373</v>
      </c>
      <c r="G7" s="126" t="s">
        <v>373</v>
      </c>
      <c r="H7" s="126" t="s">
        <v>373</v>
      </c>
      <c r="I7" s="127" t="s">
        <v>373</v>
      </c>
      <c r="J7" s="128" t="s">
        <v>373</v>
      </c>
      <c r="K7" s="128" t="s">
        <v>373</v>
      </c>
      <c r="L7" s="128" t="s">
        <v>373</v>
      </c>
    </row>
  </sheetData>
  <mergeCells count="1">
    <mergeCell ref="A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6F93-B763-4AE5-A863-3E332C153F27}">
  <dimension ref="A1:I56"/>
  <sheetViews>
    <sheetView topLeftCell="A26" workbookViewId="0">
      <selection activeCell="A52" sqref="A52:D52"/>
    </sheetView>
  </sheetViews>
  <sheetFormatPr defaultColWidth="53.28515625" defaultRowHeight="15" x14ac:dyDescent="0.25"/>
  <cols>
    <col min="1" max="1" width="29.28515625" customWidth="1"/>
    <col min="3" max="3" width="19.5703125" bestFit="1" customWidth="1"/>
    <col min="4" max="4" width="26.7109375" bestFit="1" customWidth="1"/>
  </cols>
  <sheetData>
    <row r="1" spans="1:4" ht="24" customHeight="1" x14ac:dyDescent="0.3">
      <c r="A1" s="217" t="s">
        <v>206</v>
      </c>
      <c r="B1" s="218"/>
      <c r="C1" s="218"/>
      <c r="D1" s="218"/>
    </row>
    <row r="2" spans="1:4" ht="30" x14ac:dyDescent="0.25">
      <c r="A2" s="156" t="s">
        <v>207</v>
      </c>
      <c r="B2" s="156" t="s">
        <v>208</v>
      </c>
      <c r="C2" s="156" t="s">
        <v>209</v>
      </c>
      <c r="D2" s="156" t="s">
        <v>410</v>
      </c>
    </row>
    <row r="3" spans="1:4" x14ac:dyDescent="0.25">
      <c r="A3" s="130" t="s">
        <v>210</v>
      </c>
      <c r="B3" s="131" t="s">
        <v>211</v>
      </c>
      <c r="C3" s="132"/>
      <c r="D3" s="124"/>
    </row>
    <row r="4" spans="1:4" x14ac:dyDescent="0.25">
      <c r="A4" s="130" t="s">
        <v>212</v>
      </c>
      <c r="B4" s="131" t="s">
        <v>213</v>
      </c>
      <c r="C4" s="132"/>
      <c r="D4" s="124"/>
    </row>
    <row r="5" spans="1:4" ht="30" x14ac:dyDescent="0.25">
      <c r="A5" s="130" t="s">
        <v>214</v>
      </c>
      <c r="B5" s="131" t="s">
        <v>215</v>
      </c>
      <c r="C5" s="132"/>
      <c r="D5" s="124"/>
    </row>
    <row r="6" spans="1:4" x14ac:dyDescent="0.25">
      <c r="A6" s="130" t="s">
        <v>216</v>
      </c>
      <c r="B6" s="131" t="s">
        <v>217</v>
      </c>
      <c r="C6" s="132"/>
      <c r="D6" s="124"/>
    </row>
    <row r="7" spans="1:4" ht="45" x14ac:dyDescent="0.25">
      <c r="A7" s="130" t="s">
        <v>218</v>
      </c>
      <c r="B7" s="131" t="s">
        <v>219</v>
      </c>
      <c r="C7" s="132"/>
      <c r="D7" s="124"/>
    </row>
    <row r="8" spans="1:4" ht="30" x14ac:dyDescent="0.25">
      <c r="A8" s="130" t="s">
        <v>220</v>
      </c>
      <c r="B8" s="131" t="s">
        <v>221</v>
      </c>
      <c r="C8" s="132"/>
      <c r="D8" s="124"/>
    </row>
    <row r="9" spans="1:4" ht="45" x14ac:dyDescent="0.25">
      <c r="A9" s="130" t="s">
        <v>222</v>
      </c>
      <c r="B9" s="131" t="s">
        <v>223</v>
      </c>
      <c r="C9" s="132"/>
      <c r="D9" s="124"/>
    </row>
    <row r="10" spans="1:4" x14ac:dyDescent="0.25">
      <c r="A10" s="130" t="s">
        <v>224</v>
      </c>
      <c r="B10" s="131" t="s">
        <v>225</v>
      </c>
      <c r="C10" s="132"/>
      <c r="D10" s="124"/>
    </row>
    <row r="11" spans="1:4" ht="30" x14ac:dyDescent="0.25">
      <c r="A11" s="130" t="s">
        <v>226</v>
      </c>
      <c r="B11" s="131" t="s">
        <v>227</v>
      </c>
      <c r="C11" s="132"/>
      <c r="D11" s="124"/>
    </row>
    <row r="12" spans="1:4" ht="30" x14ac:dyDescent="0.25">
      <c r="A12" s="130" t="s">
        <v>228</v>
      </c>
      <c r="B12" s="131" t="s">
        <v>229</v>
      </c>
      <c r="C12" s="132"/>
      <c r="D12" s="124"/>
    </row>
    <row r="13" spans="1:4" x14ac:dyDescent="0.25">
      <c r="A13" s="130" t="s">
        <v>230</v>
      </c>
      <c r="B13" s="131" t="s">
        <v>231</v>
      </c>
      <c r="C13" s="132"/>
      <c r="D13" s="124"/>
    </row>
    <row r="14" spans="1:4" ht="30" x14ac:dyDescent="0.25">
      <c r="A14" s="130" t="s">
        <v>232</v>
      </c>
      <c r="B14" s="131" t="s">
        <v>233</v>
      </c>
      <c r="C14" s="132"/>
      <c r="D14" s="124"/>
    </row>
    <row r="15" spans="1:4" ht="30" x14ac:dyDescent="0.25">
      <c r="A15" s="130" t="s">
        <v>234</v>
      </c>
      <c r="B15" s="131" t="s">
        <v>235</v>
      </c>
      <c r="C15" s="132"/>
      <c r="D15" s="124"/>
    </row>
    <row r="16" spans="1:4" x14ac:dyDescent="0.25">
      <c r="A16" s="130" t="s">
        <v>236</v>
      </c>
      <c r="B16" s="131" t="s">
        <v>237</v>
      </c>
      <c r="C16" s="132"/>
      <c r="D16" s="124"/>
    </row>
    <row r="17" spans="1:9" ht="45" x14ac:dyDescent="0.25">
      <c r="A17" s="130" t="s">
        <v>238</v>
      </c>
      <c r="B17" s="131" t="s">
        <v>239</v>
      </c>
      <c r="C17" s="132"/>
      <c r="D17" s="124"/>
    </row>
    <row r="18" spans="1:9" ht="30" x14ac:dyDescent="0.25">
      <c r="A18" s="130" t="s">
        <v>240</v>
      </c>
      <c r="B18" s="131" t="s">
        <v>241</v>
      </c>
      <c r="C18" s="132"/>
      <c r="D18" s="124"/>
    </row>
    <row r="19" spans="1:9" ht="22.15" customHeight="1" x14ac:dyDescent="0.25">
      <c r="A19" s="221" t="s">
        <v>408</v>
      </c>
      <c r="B19" s="221"/>
      <c r="C19" s="221"/>
      <c r="D19" s="221"/>
    </row>
    <row r="20" spans="1:9" ht="22.15" customHeight="1" x14ac:dyDescent="0.25">
      <c r="A20" s="210" t="s">
        <v>409</v>
      </c>
      <c r="B20" s="210"/>
      <c r="C20" s="210"/>
      <c r="D20" s="210"/>
    </row>
    <row r="21" spans="1:9" ht="14.45" customHeight="1" x14ac:dyDescent="0.25">
      <c r="A21" s="145" t="s">
        <v>376</v>
      </c>
      <c r="B21" s="145" t="s">
        <v>378</v>
      </c>
      <c r="C21" s="211" t="s">
        <v>377</v>
      </c>
      <c r="D21" s="212"/>
    </row>
    <row r="22" spans="1:9" x14ac:dyDescent="0.25">
      <c r="A22" s="146" t="s">
        <v>379</v>
      </c>
      <c r="B22" s="154" t="s">
        <v>380</v>
      </c>
      <c r="C22" s="208"/>
      <c r="D22" s="209"/>
      <c r="E22" s="151"/>
    </row>
    <row r="23" spans="1:9" x14ac:dyDescent="0.25">
      <c r="A23" s="146" t="s">
        <v>381</v>
      </c>
      <c r="B23" s="154" t="s">
        <v>380</v>
      </c>
      <c r="C23" s="208"/>
      <c r="D23" s="209"/>
    </row>
    <row r="24" spans="1:9" x14ac:dyDescent="0.25">
      <c r="A24" s="146" t="s">
        <v>382</v>
      </c>
      <c r="B24" s="154" t="s">
        <v>380</v>
      </c>
      <c r="C24" s="208"/>
      <c r="D24" s="209"/>
    </row>
    <row r="25" spans="1:9" x14ac:dyDescent="0.25">
      <c r="A25" s="146" t="s">
        <v>383</v>
      </c>
      <c r="B25" s="154" t="s">
        <v>380</v>
      </c>
      <c r="C25" s="208"/>
      <c r="D25" s="209"/>
      <c r="E25" s="219" t="s">
        <v>416</v>
      </c>
      <c r="F25" s="220"/>
      <c r="G25" s="220"/>
      <c r="H25" s="220"/>
      <c r="I25" s="220"/>
    </row>
    <row r="26" spans="1:9" x14ac:dyDescent="0.25">
      <c r="A26" s="146" t="s">
        <v>384</v>
      </c>
      <c r="B26" s="154" t="s">
        <v>385</v>
      </c>
      <c r="C26" s="208"/>
      <c r="D26" s="209"/>
    </row>
    <row r="27" spans="1:9" x14ac:dyDescent="0.25">
      <c r="A27" s="146" t="s">
        <v>413</v>
      </c>
      <c r="B27" s="154"/>
      <c r="C27" s="149"/>
      <c r="D27" s="150"/>
    </row>
    <row r="28" spans="1:9" x14ac:dyDescent="0.25">
      <c r="A28" s="146" t="s">
        <v>411</v>
      </c>
      <c r="B28" s="154"/>
      <c r="C28" s="149"/>
      <c r="D28" s="150"/>
    </row>
    <row r="29" spans="1:9" ht="25.5" x14ac:dyDescent="0.25">
      <c r="A29" s="146" t="s">
        <v>386</v>
      </c>
      <c r="B29" s="154" t="s">
        <v>387</v>
      </c>
      <c r="C29" s="208"/>
      <c r="D29" s="209"/>
    </row>
    <row r="30" spans="1:9" ht="25.5" x14ac:dyDescent="0.25">
      <c r="A30" s="146" t="s">
        <v>388</v>
      </c>
      <c r="B30" s="154" t="s">
        <v>389</v>
      </c>
      <c r="C30" s="208"/>
      <c r="D30" s="209"/>
    </row>
    <row r="31" spans="1:9" ht="25.5" x14ac:dyDescent="0.25">
      <c r="A31" s="146" t="s">
        <v>390</v>
      </c>
      <c r="B31" s="154" t="s">
        <v>391</v>
      </c>
      <c r="C31" s="208"/>
      <c r="D31" s="209"/>
    </row>
    <row r="32" spans="1:9" ht="25.5" x14ac:dyDescent="0.25">
      <c r="A32" s="146" t="s">
        <v>392</v>
      </c>
      <c r="B32" s="154" t="s">
        <v>393</v>
      </c>
      <c r="C32" s="208"/>
      <c r="D32" s="209"/>
    </row>
    <row r="33" spans="1:6" x14ac:dyDescent="0.25">
      <c r="A33" s="146" t="s">
        <v>394</v>
      </c>
      <c r="B33" s="154" t="s">
        <v>395</v>
      </c>
      <c r="C33" s="208"/>
      <c r="D33" s="209"/>
      <c r="E33" s="152"/>
      <c r="F33" s="153"/>
    </row>
    <row r="34" spans="1:6" ht="14.45" customHeight="1" x14ac:dyDescent="0.25">
      <c r="A34" s="215"/>
      <c r="B34" s="215"/>
      <c r="C34" s="215"/>
      <c r="D34" s="215"/>
      <c r="E34" s="152"/>
      <c r="F34" s="153"/>
    </row>
    <row r="35" spans="1:6" ht="25.15" customHeight="1" x14ac:dyDescent="0.25">
      <c r="A35" s="210" t="s">
        <v>412</v>
      </c>
      <c r="B35" s="210"/>
      <c r="C35" s="210"/>
      <c r="D35" s="210"/>
      <c r="E35" s="152"/>
      <c r="F35" s="153"/>
    </row>
    <row r="36" spans="1:6" x14ac:dyDescent="0.25">
      <c r="A36" s="147" t="s">
        <v>376</v>
      </c>
      <c r="B36" s="147" t="s">
        <v>378</v>
      </c>
      <c r="C36" s="211" t="s">
        <v>377</v>
      </c>
      <c r="D36" s="212"/>
      <c r="E36" s="152"/>
      <c r="F36" s="153"/>
    </row>
    <row r="37" spans="1:6" x14ac:dyDescent="0.25">
      <c r="A37" s="146" t="s">
        <v>396</v>
      </c>
      <c r="B37" s="154" t="s">
        <v>380</v>
      </c>
      <c r="C37" s="208"/>
      <c r="D37" s="209"/>
    </row>
    <row r="38" spans="1:6" x14ac:dyDescent="0.25">
      <c r="A38" s="146" t="s">
        <v>397</v>
      </c>
      <c r="B38" s="154" t="s">
        <v>380</v>
      </c>
      <c r="C38" s="208"/>
      <c r="D38" s="209"/>
    </row>
    <row r="39" spans="1:6" x14ac:dyDescent="0.25">
      <c r="A39" s="146" t="s">
        <v>382</v>
      </c>
      <c r="B39" s="154" t="s">
        <v>380</v>
      </c>
      <c r="C39" s="149"/>
      <c r="D39" s="150"/>
    </row>
    <row r="40" spans="1:6" x14ac:dyDescent="0.25">
      <c r="A40" s="146" t="s">
        <v>383</v>
      </c>
      <c r="B40" s="154" t="s">
        <v>380</v>
      </c>
      <c r="C40" s="149"/>
      <c r="D40" s="150"/>
    </row>
    <row r="41" spans="1:6" x14ac:dyDescent="0.25">
      <c r="A41" s="146" t="s">
        <v>384</v>
      </c>
      <c r="B41" s="154" t="s">
        <v>385</v>
      </c>
      <c r="C41" s="208"/>
      <c r="D41" s="209"/>
    </row>
    <row r="42" spans="1:6" x14ac:dyDescent="0.25">
      <c r="A42" s="146" t="s">
        <v>413</v>
      </c>
      <c r="B42" s="155"/>
      <c r="C42" s="213"/>
      <c r="D42" s="214"/>
    </row>
    <row r="43" spans="1:6" x14ac:dyDescent="0.25">
      <c r="A43" s="146" t="s">
        <v>411</v>
      </c>
      <c r="B43" s="154"/>
      <c r="C43" s="213"/>
      <c r="D43" s="214"/>
    </row>
    <row r="44" spans="1:6" x14ac:dyDescent="0.25">
      <c r="A44" s="146" t="s">
        <v>398</v>
      </c>
      <c r="B44" s="154" t="s">
        <v>399</v>
      </c>
      <c r="C44" s="208"/>
      <c r="D44" s="209"/>
    </row>
    <row r="45" spans="1:6" x14ac:dyDescent="0.25">
      <c r="A45" s="146" t="s">
        <v>415</v>
      </c>
      <c r="B45" s="154"/>
      <c r="C45" s="208"/>
      <c r="D45" s="209"/>
    </row>
    <row r="46" spans="1:6" ht="34.15" customHeight="1" x14ac:dyDescent="0.25">
      <c r="A46" s="146" t="s">
        <v>414</v>
      </c>
      <c r="B46" s="154"/>
      <c r="C46" s="208"/>
      <c r="D46" s="209"/>
    </row>
    <row r="47" spans="1:6" ht="25.5" x14ac:dyDescent="0.25">
      <c r="A47" s="146" t="s">
        <v>400</v>
      </c>
      <c r="B47" s="154" t="s">
        <v>401</v>
      </c>
      <c r="C47" s="208"/>
      <c r="D47" s="209"/>
    </row>
    <row r="48" spans="1:6" x14ac:dyDescent="0.25">
      <c r="A48" s="146" t="s">
        <v>402</v>
      </c>
      <c r="B48" s="154" t="s">
        <v>403</v>
      </c>
      <c r="C48" s="208"/>
      <c r="D48" s="209"/>
    </row>
    <row r="49" spans="1:4" x14ac:dyDescent="0.25">
      <c r="A49" s="146" t="s">
        <v>404</v>
      </c>
      <c r="B49" s="154" t="s">
        <v>405</v>
      </c>
      <c r="C49" s="208"/>
      <c r="D49" s="209"/>
    </row>
    <row r="50" spans="1:4" x14ac:dyDescent="0.25">
      <c r="A50" s="146" t="s">
        <v>406</v>
      </c>
      <c r="B50" s="154" t="s">
        <v>407</v>
      </c>
      <c r="C50" s="208"/>
      <c r="D50" s="209"/>
    </row>
    <row r="51" spans="1:4" x14ac:dyDescent="0.25">
      <c r="A51" s="215"/>
      <c r="B51" s="215"/>
      <c r="C51" s="215"/>
      <c r="D51" s="215"/>
    </row>
    <row r="52" spans="1:4" ht="23.45" customHeight="1" x14ac:dyDescent="0.25">
      <c r="A52" s="210" t="s">
        <v>418</v>
      </c>
      <c r="B52" s="210"/>
      <c r="C52" s="210"/>
      <c r="D52" s="210"/>
    </row>
    <row r="53" spans="1:4" x14ac:dyDescent="0.25">
      <c r="A53" s="147" t="s">
        <v>376</v>
      </c>
      <c r="B53" s="147" t="s">
        <v>378</v>
      </c>
      <c r="C53" s="211" t="s">
        <v>377</v>
      </c>
      <c r="D53" s="212"/>
    </row>
    <row r="54" spans="1:4" x14ac:dyDescent="0.25">
      <c r="A54" s="146" t="s">
        <v>415</v>
      </c>
      <c r="B54" s="154" t="s">
        <v>380</v>
      </c>
      <c r="C54" s="208"/>
      <c r="D54" s="209"/>
    </row>
    <row r="55" spans="1:4" ht="25.5" x14ac:dyDescent="0.25">
      <c r="A55" s="146" t="s">
        <v>417</v>
      </c>
      <c r="B55" s="148"/>
      <c r="C55" s="208"/>
      <c r="D55" s="209"/>
    </row>
    <row r="56" spans="1:4" x14ac:dyDescent="0.25">
      <c r="A56" s="146" t="s">
        <v>404</v>
      </c>
      <c r="B56" s="148"/>
      <c r="C56" s="216"/>
      <c r="D56" s="216"/>
    </row>
  </sheetData>
  <mergeCells count="36">
    <mergeCell ref="C54:D54"/>
    <mergeCell ref="C55:D55"/>
    <mergeCell ref="C56:D56"/>
    <mergeCell ref="A1:D1"/>
    <mergeCell ref="E25:I25"/>
    <mergeCell ref="C21:D21"/>
    <mergeCell ref="A19:D19"/>
    <mergeCell ref="A20:D20"/>
    <mergeCell ref="C22:D22"/>
    <mergeCell ref="C23:D23"/>
    <mergeCell ref="C49:D49"/>
    <mergeCell ref="A35:D35"/>
    <mergeCell ref="C36:D36"/>
    <mergeCell ref="C37:D37"/>
    <mergeCell ref="A34:D34"/>
    <mergeCell ref="C24:D24"/>
    <mergeCell ref="C25:D25"/>
    <mergeCell ref="C26:D26"/>
    <mergeCell ref="C29:D29"/>
    <mergeCell ref="C30:D30"/>
    <mergeCell ref="C31:D31"/>
    <mergeCell ref="C32:D32"/>
    <mergeCell ref="C33:D33"/>
    <mergeCell ref="A52:D52"/>
    <mergeCell ref="C53:D53"/>
    <mergeCell ref="C41:D41"/>
    <mergeCell ref="C42:D42"/>
    <mergeCell ref="C43:D43"/>
    <mergeCell ref="C45:D45"/>
    <mergeCell ref="C46:D46"/>
    <mergeCell ref="A51:D51"/>
    <mergeCell ref="C50:D50"/>
    <mergeCell ref="C38:D38"/>
    <mergeCell ref="C44:D44"/>
    <mergeCell ref="C47:D47"/>
    <mergeCell ref="C48:D48"/>
  </mergeCells>
  <dataValidations count="1">
    <dataValidation type="list" allowBlank="1" sqref="C3:C18" xr:uid="{1E19A865-328A-43E8-8AC0-564B5DB4A192}">
      <formula1>"Sim,Não,Parcial"</formula1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9C255F5FAD777141BBEE067A11771F0A" ma:contentTypeVersion="13" ma:contentTypeDescription="Create a new document." ma:contentTypeScope="" ma:versionID="50731b40e213b3afe4b8af6ee1e92002">
  <xsd:schema xmlns:xsd="http://www.w3.org/2001/XMLSchema" xmlns:xs="http://www.w3.org/2001/XMLSchema" xmlns:p="http://schemas.microsoft.com/office/2006/metadata/properties" xmlns:ns2="ea1a9bfc-76a9-4942-bb84-a249f7d50da2" xmlns:ns3="00bf9c0c-280a-47c4-848b-352c5e04b4bb" targetNamespace="http://schemas.microsoft.com/office/2006/metadata/properties" ma:root="true" ma:fieldsID="6b401f035e2a0b3eccfb06497d65f2ea" ns2:_="" ns3:_="">
    <xsd:import namespace="ea1a9bfc-76a9-4942-bb84-a249f7d50da2"/>
    <xsd:import namespace="00bf9c0c-280a-47c4-848b-352c5e04b4bb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2:TaxCatchAll" minOccurs="0"/>
                <xsd:element ref="ns2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2:m0347c9175b146a684f1230523809245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a9bfc-76a9-4942-bb84-a249f7d50da2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EXPLORATION ＆ PRODUCTION INTERNATIONAL (EPI)|76777ab9-3b5c-45dc-b1bf-cae5e8c2a23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403d765-f298-4139-8e58-d4c0261276bd}" ma:internalName="TaxCatchAll" ma:showField="CatchAllData" ma:web="ea1a9bfc-76a9-4942-bb84-a249f7d50d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403d765-f298-4139-8e58-d4c0261276bd}" ma:internalName="TaxCatchAllLabel" ma:readOnly="true" ma:showField="CatchAllDataLabel" ma:web="ea1a9bfc-76a9-4942-bb84-a249f7d50d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bf6ec96a4d94feeaf76fee4d5d0c80e" ma:index="12" ma:taxonomy="true" ma:internalName="mbf6ec96a4d94feeaf76fee4d5d0c80e" ma:taxonomyFieldName="EIMCountry" ma:displayName="Country" ma:default="6;#Brazil|d641e264-f157-42ed-8f97-e17c8f6cf33a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0;#Operation and Maintenance documentation|4767e6fc-97fe-4895-ba5a-80e461cbd45d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7;#Equinor Brasil Energia Ltda.|5b4a339c-2b69-419f-be0c-27e975216a58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8;#Operation and maintenance (OM)|2f792156-1444-4990-b757-a571494857be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9;#Technical integrity management|ce6b1ab7-1aca-4450-a1c0-cb6e89a524cc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4;#Internal|3361fef0-33ac-457d-8a1d-df19735ffcb1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347c9175b146a684f1230523809245" ma:index="28" nillable="true" ma:taxonomy="true" ma:internalName="m0347c9175b146a684f1230523809245" ma:taxonomyFieldName="EIMDiscipline" ma:displayName="Discipline" ma:default="11;#Fiscal metering systems ＆ field allocation|9d88b364-b47a-4a1e-8100-07f26438537d" ma:fieldId="{60347c91-75b1-46a6-84f1-230523809245}" ma:taxonomyMulti="true" ma:sspId="02f74cf1-ae9f-400d-bc52-3bcd3a9e177f" ma:termSetId="d1866989-1eec-46c3-b7d1-bd44d1645697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bf9c0c-280a-47c4-848b-352c5e04b4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5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4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f74cf1-ae9f-400d-bc52-3bcd3a9e177f" ContentTypeId="0x0101" PreviousValue="false" LastSyncTimeStamp="2017-04-04T06:38:12.213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632f762b19c46329b06e4a329cb5038 xmlns="ea1a9bfc-76a9-4942-bb84-a249f7d50da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EXPLORATION ＆ PRODUCTION INTERNATIONAL (EPI)</TermName>
          <TermId xmlns="http://schemas.microsoft.com/office/infopath/2007/PartnerControls">76777ab9-3b5c-45dc-b1bf-cae5e8c2a234</TermId>
        </TermInfo>
      </Terms>
    </d632f762b19c46329b06e4a329cb5038>
    <o6fe11a35735487dac377a215490fa4b xmlns="ea1a9bfc-76a9-4942-bb84-a249f7d50da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m0347c9175b146a684f1230523809245 xmlns="ea1a9bfc-76a9-4942-bb84-a249f7d50da2">
      <Terms xmlns="http://schemas.microsoft.com/office/infopath/2007/PartnerControls">
        <TermInfo xmlns="http://schemas.microsoft.com/office/infopath/2007/PartnerControls">
          <TermName xmlns="http://schemas.microsoft.com/office/infopath/2007/PartnerControls">Fiscal metering systems ＆ field allocation</TermName>
          <TermId xmlns="http://schemas.microsoft.com/office/infopath/2007/PartnerControls">9d88b364-b47a-4a1e-8100-07f26438537d</TermId>
        </TermInfo>
      </Terms>
    </m0347c9175b146a684f1230523809245>
    <mbf6ec96a4d94feeaf76fee4d5d0c80e xmlns="ea1a9bfc-76a9-4942-bb84-a249f7d50da2">
      <Terms xmlns="http://schemas.microsoft.com/office/infopath/2007/PartnerControls">
        <TermInfo xmlns="http://schemas.microsoft.com/office/infopath/2007/PartnerControls">
          <TermName xmlns="http://schemas.microsoft.com/office/infopath/2007/PartnerControls">Brazil</TermName>
          <TermId xmlns="http://schemas.microsoft.com/office/infopath/2007/PartnerControls">d641e264-f157-42ed-8f97-e17c8f6cf33a</TermId>
        </TermInfo>
      </Terms>
    </mbf6ec96a4d94feeaf76fee4d5d0c80e>
    <TaxCatchAll xmlns="ea1a9bfc-76a9-4942-bb84-a249f7d50da2">
      <Value>11</Value>
      <Value>10</Value>
      <Value>9</Value>
      <Value>8</Value>
      <Value>7</Value>
      <Value>6</Value>
      <Value>5</Value>
      <Value>4</Value>
      <Value>3</Value>
      <Value>2</Value>
    </TaxCatchAll>
    <g971e9ce8060489b80a056801d36d93d xmlns="ea1a9bfc-76a9-4942-bb84-a249f7d50da2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Technical integrity management</TermName>
          <TermId xmlns="http://schemas.microsoft.com/office/infopath/2007/PartnerControls">ce6b1ab7-1aca-4450-a1c0-cb6e89a524cc</TermId>
        </TermInfo>
      </Terms>
    </g971e9ce8060489b80a056801d36d93d>
    <c71f94430ee24530b6af52dc58e8598c xmlns="ea1a9bfc-76a9-4942-bb84-a249f7d50da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 and Maintenance documentation</TermName>
          <TermId xmlns="http://schemas.microsoft.com/office/infopath/2007/PartnerControls">4767e6fc-97fe-4895-ba5a-80e461cbd45d</TermId>
        </TermInfo>
      </Terms>
    </c71f94430ee24530b6af52dc58e8598c>
    <gd56e2644879487f8da67586944cf0f5 xmlns="ea1a9bfc-76a9-4942-bb84-a249f7d50da2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m9e92212f5fa42fa9b52bc2f3224e0af xmlns="ea1a9bfc-76a9-4942-bb84-a249f7d50da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Brasil Energia Ltda.</TermName>
          <TermId xmlns="http://schemas.microsoft.com/office/infopath/2007/PartnerControls">5b4a339c-2b69-419f-be0c-27e975216a58</TermId>
        </TermInfo>
      </Terms>
    </m9e92212f5fa42fa9b52bc2f3224e0af>
    <b519d5ff8fc64ffea9cb9a4c0b377271 xmlns="ea1a9bfc-76a9-4942-bb84-a249f7d50da2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</TermName>
          <TermId xmlns="http://schemas.microsoft.com/office/infopath/2007/PartnerControls">3361fef0-33ac-457d-8a1d-df19735ffcb1</TermId>
        </TermInfo>
      </Terms>
    </b519d5ff8fc64ffea9cb9a4c0b377271>
    <lcf76f155ced4ddcb4097134ff3c332f xmlns="00bf9c0c-280a-47c4-848b-352c5e04b4bb">
      <Terms xmlns="http://schemas.microsoft.com/office/infopath/2007/PartnerControls"/>
    </lcf76f155ced4ddcb4097134ff3c332f>
    <hfb23c77fa4f4618a5f446ac03ac12ab xmlns="ea1a9bfc-76a9-4942-bb84-a249f7d50da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 and maintenance (OM)</TermName>
          <TermId xmlns="http://schemas.microsoft.com/office/infopath/2007/PartnerControls">2f792156-1444-4990-b757-a571494857be</TermId>
        </TermInfo>
      </Terms>
    </hfb23c77fa4f4618a5f446ac03ac12ab>
  </documentManagement>
</p:properties>
</file>

<file path=customXml/itemProps1.xml><?xml version="1.0" encoding="utf-8"?>
<ds:datastoreItem xmlns:ds="http://schemas.openxmlformats.org/officeDocument/2006/customXml" ds:itemID="{AC88BE44-A3B8-4207-A456-651595D8E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1a9bfc-76a9-4942-bb84-a249f7d50da2"/>
    <ds:schemaRef ds:uri="00bf9c0c-280a-47c4-848b-352c5e04b4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482BF4-6F3E-463D-BE86-6781834FBF3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328527A-770E-4116-AFC4-B7C90ED2EB1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8DADA5E-FF12-471C-BF36-DA7CD16F5555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00bf9c0c-280a-47c4-848b-352c5e04b4bb"/>
    <ds:schemaRef ds:uri="http://schemas.microsoft.com/office/2006/documentManagement/types"/>
    <ds:schemaRef ds:uri="http://schemas.microsoft.com/office/infopath/2007/PartnerControls"/>
    <ds:schemaRef ds:uri="ea1a9bfc-76a9-4942-bb84-a249f7d50da2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c0fd9d9-30b4-46b7-8b7b-c1b67ed693a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3</vt:i4>
      </vt:variant>
    </vt:vector>
  </HeadingPairs>
  <TitlesOfParts>
    <vt:vector size="12" baseType="lpstr">
      <vt:lpstr>Monitoramento_Diario_Massa</vt:lpstr>
      <vt:lpstr>Monitoramento_Diario_Volumetric</vt:lpstr>
      <vt:lpstr>Monitoramento_Diario_Eventos</vt:lpstr>
      <vt:lpstr>Sheet1</vt:lpstr>
      <vt:lpstr>Limites_Procedimentos</vt:lpstr>
      <vt:lpstr>Resumo_Status</vt:lpstr>
      <vt:lpstr>Resumo Semanal</vt:lpstr>
      <vt:lpstr>Resumo Mensal</vt:lpstr>
      <vt:lpstr>Conferência Diária</vt:lpstr>
      <vt:lpstr>Monitoramento_Diario_Eventos!Area_de_impressao</vt:lpstr>
      <vt:lpstr>Monitoramento_Diario_Massa!Area_de_impressao</vt:lpstr>
      <vt:lpstr>Monitoramento_Diario_Volumetric!Area_de_impressao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Maurício Amorim</cp:lastModifiedBy>
  <cp:revision>0</cp:revision>
  <cp:lastPrinted>2026-01-27T23:17:51Z</cp:lastPrinted>
  <dcterms:created xsi:type="dcterms:W3CDTF">2026-01-07T04:31:58Z</dcterms:created>
  <dcterms:modified xsi:type="dcterms:W3CDTF">2026-01-28T09:31:22Z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0x01010021A623C39873404E8BA89587BD4428B401009C255F5FAD777141BBEE067A11771F0A</vt:lpwstr>
  </property>
  <property fmtid="{D5CDD505-2E9C-101B-9397-08002B2CF9AE}" pid="3" name="EIMLegalEntity">
    <vt:lpwstr>7;#Equinor Brasil Energia Ltda.|5b4a339c-2b69-419f-be0c-27e975216a58</vt:lpwstr>
  </property>
  <property fmtid="{D5CDD505-2E9C-101B-9397-08002B2CF9AE}" pid="4" name="MediaServiceImageTags">
    <vt:lpwstr/>
  </property>
  <property fmtid="{D5CDD505-2E9C-101B-9397-08002B2CF9AE}" pid="5" name="EIMBusinessArea">
    <vt:lpwstr>5;#EXPLORATION ＆ PRODUCTION INTERNATIONAL (EPI)|76777ab9-3b5c-45dc-b1bf-cae5e8c2a234</vt:lpwstr>
  </property>
  <property fmtid="{D5CDD505-2E9C-101B-9397-08002B2CF9AE}" pid="6" name="EIMDiscipline">
    <vt:lpwstr>11;#Fiscal metering systems ＆ field allocation|9d88b364-b47a-4a1e-8100-07f26438537d</vt:lpwstr>
  </property>
  <property fmtid="{D5CDD505-2E9C-101B-9397-08002B2CF9AE}" pid="7" name="EIMCountry">
    <vt:lpwstr>6;#Brazil|d641e264-f157-42ed-8f97-e17c8f6cf33a</vt:lpwstr>
  </property>
  <property fmtid="{D5CDD505-2E9C-101B-9397-08002B2CF9AE}" pid="8" name="EIMSource">
    <vt:lpwstr>3;#Office 365|23cc2eaf-b88f-49bf-9aee-2309aadb8846</vt:lpwstr>
  </property>
  <property fmtid="{D5CDD505-2E9C-101B-9397-08002B2CF9AE}" pid="9" name="EIMSecurityClassification">
    <vt:lpwstr>4;#Internal|3361fef0-33ac-457d-8a1d-df19735ffcb1</vt:lpwstr>
  </property>
  <property fmtid="{D5CDD505-2E9C-101B-9397-08002B2CF9AE}" pid="10" name="EIMProcess">
    <vt:lpwstr>9;#Technical integrity management|ce6b1ab7-1aca-4450-a1c0-cb6e89a524cc</vt:lpwstr>
  </property>
  <property fmtid="{D5CDD505-2E9C-101B-9397-08002B2CF9AE}" pid="11" name="EIMInformationAsset">
    <vt:lpwstr>10;#Operation and Maintenance documentation|4767e6fc-97fe-4895-ba5a-80e461cbd45d</vt:lpwstr>
  </property>
  <property fmtid="{D5CDD505-2E9C-101B-9397-08002B2CF9AE}" pid="12" name="EIMProcessArea">
    <vt:lpwstr>8;#Operation and maintenance (OM)|2f792156-1444-4990-b757-a571494857be</vt:lpwstr>
  </property>
  <property fmtid="{D5CDD505-2E9C-101B-9397-08002B2CF9AE}" pid="13" name="EIMStatus">
    <vt:lpwstr>2;#Draft|af4d3abd-d88d-48b7-8fea-db9baac9496f</vt:lpwstr>
  </property>
</Properties>
</file>